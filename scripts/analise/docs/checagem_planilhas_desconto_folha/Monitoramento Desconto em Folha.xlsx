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itoramento Geral" sheetId="1" state="visible" r:id="rId3"/>
    <sheet name="Desconto em Folha Valores" sheetId="2" state="visible" r:id="rId4"/>
    <sheet name="Processos Antigos" sheetId="3" state="visible" r:id="rId5"/>
    <sheet name="Monitoramento NEREU" sheetId="4" state="visible" r:id="rId6"/>
    <sheet name="D. F. Valores Proc. Antigos" sheetId="5" state="visible" r:id="rId7"/>
    <sheet name="RESUMO" sheetId="6" state="visible" r:id="rId8"/>
  </sheets>
  <definedNames>
    <definedName function="false" hidden="true" localSheetId="1" name="_xlnm._FilterDatabase" vbProcedure="false">'Desconto em Folha Valores'!$A$1:$AB$75</definedName>
    <definedName function="false" hidden="true" localSheetId="0" name="_xlnm._FilterDatabase" vbProcedure="false">'Monitoramento Geral'!$A$1:$X$141</definedName>
    <definedName function="false" hidden="false" localSheetId="0" name="DescontosFolha" vbProcedure="false">'Monitoramento Geral'!$A$1:$V$47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DescontosFolha11" type="6" reconnectionMethod="1" refreshedVersion="3" minRefreshableVersion="0" savePassword="0" new="0" deleted="0" onlyUseConnectionFile="0" background="1" refreshOnLoad="0" saveData="1">
    <textPr codePage="65001" sourceFile="\\srv-fs01\ccd\Consultas\DescontosFolha\DescontosFolha.csv" decimal="," thousands=".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<sst xmlns="http://schemas.openxmlformats.org/spreadsheetml/2006/main" count="1850" uniqueCount="819">
  <si>
    <t xml:space="preserve">PROCESSO</t>
  </si>
  <si>
    <t xml:space="preserve">CADASTRADO DF</t>
  </si>
  <si>
    <t xml:space="preserve">DESPACHO</t>
  </si>
  <si>
    <t xml:space="preserve">NOTIFICAÇÃO</t>
  </si>
  <si>
    <t xml:space="preserve">RECEBIMENTO AR</t>
  </si>
  <si>
    <t xml:space="preserve">RESPOSTA</t>
  </si>
  <si>
    <t xml:space="preserve">2 NOTIFICAÇÃO</t>
  </si>
  <si>
    <t xml:space="preserve">RECEBIMENTO AR 2 NOT</t>
  </si>
  <si>
    <t xml:space="preserve">Desc. Folha</t>
  </si>
  <si>
    <t xml:space="preserve">valor 2 trimestre</t>
  </si>
  <si>
    <t xml:space="preserve">2 trimestre 2025</t>
  </si>
  <si>
    <t xml:space="preserve">ESTADUAL / MUNICIPAL</t>
  </si>
  <si>
    <t xml:space="preserve">ÓRGÃO</t>
  </si>
  <si>
    <t xml:space="preserve">PROCESSO SEI OU OUTROS</t>
  </si>
  <si>
    <t xml:space="preserve">TRASNF. FRAP</t>
  </si>
  <si>
    <t xml:space="preserve">PAGO SITE TCE</t>
  </si>
  <si>
    <t xml:space="preserve">TIPO PAGAMENTO</t>
  </si>
  <si>
    <t xml:space="preserve">REMANESCENTE</t>
  </si>
  <si>
    <t xml:space="preserve">APR</t>
  </si>
  <si>
    <t xml:space="preserve">VALOR ORIGINAL</t>
  </si>
  <si>
    <t xml:space="preserve">NOME</t>
  </si>
  <si>
    <t xml:space="preserve">CPF</t>
  </si>
  <si>
    <t xml:space="preserve">OBSERVAÇÕES</t>
  </si>
  <si>
    <t xml:space="preserve">004772/2024</t>
  </si>
  <si>
    <t xml:space="preserve">Estadual</t>
  </si>
  <si>
    <t xml:space="preserve">IPERN</t>
  </si>
  <si>
    <t xml:space="preserve">ADOLFO JOSÉ DA SILVEIRA NETO</t>
  </si>
  <si>
    <t xml:space="preserve">000852/2025</t>
  </si>
  <si>
    <t xml:space="preserve">Municipal</t>
  </si>
  <si>
    <t xml:space="preserve">URBANA - COMPANHIA DE SERVIÇOS URBANOS DE NATAL</t>
  </si>
  <si>
    <t xml:space="preserve">Alexandre Magno de Montenegro Miranda</t>
  </si>
  <si>
    <t xml:space="preserve">Alexandre Magno de Montenegro Miranda não faz mais parte do quadro de funcionários da 
URBANA</t>
  </si>
  <si>
    <t xml:space="preserve">003368/2024</t>
  </si>
  <si>
    <t xml:space="preserve">SIM</t>
  </si>
  <si>
    <t xml:space="preserve">sim</t>
  </si>
  <si>
    <t xml:space="preserve">Câmara Municipal de Pendências</t>
  </si>
  <si>
    <t xml:space="preserve">Alexandre Pereira de Araujo Montenegro</t>
  </si>
  <si>
    <t xml:space="preserve">Parcelamento cancelado</t>
  </si>
  <si>
    <t xml:space="preserve">002058/2024</t>
  </si>
  <si>
    <t xml:space="preserve">PREFEITURA MUNICIPAL DE SERRA DO MEL</t>
  </si>
  <si>
    <t xml:space="preserve">parcelado</t>
  </si>
  <si>
    <t xml:space="preserve">ANAXIMANDRO RODRIGUES DO VALE COSTA</t>
  </si>
  <si>
    <t xml:space="preserve">000070/2025</t>
  </si>
  <si>
    <t xml:space="preserve">Prefeitura Municipal de Messias Targino</t>
  </si>
  <si>
    <t xml:space="preserve">anderson medeiros martins</t>
  </si>
  <si>
    <t xml:space="preserve">000415/2024</t>
  </si>
  <si>
    <t xml:space="preserve">IPSS - Inst. Prev. SOCIAL Dos Serv Mun. de Olho Dagua Dos Borges</t>
  </si>
  <si>
    <t xml:space="preserve">Anderson Muller Holanda Cortez</t>
  </si>
  <si>
    <t xml:space="preserve">Pagou primeira parcela no site do TCE. Implementou desconto em folha segunda parcela. Juntou comprovante pagamento. PRECISAMOS MONITORAR IS RESTANTS DAS PARCELAS, COMO?</t>
  </si>
  <si>
    <t xml:space="preserve">004917/2024</t>
  </si>
  <si>
    <t xml:space="preserve">Prefeitura 
Municipal de Santa Cruz</t>
  </si>
  <si>
    <t xml:space="preserve">integral</t>
  </si>
  <si>
    <t xml:space="preserve">Ângelo Giusepe Fonseca da Silveira</t>
  </si>
  <si>
    <t xml:space="preserve">003379/2024</t>
  </si>
  <si>
    <t xml:space="preserve">PREFEITURA MUN. DE SÃO JOÃO DO SABUGI</t>
  </si>
  <si>
    <t xml:space="preserve">Integral</t>
  </si>
  <si>
    <t xml:space="preserve"> cancelado</t>
  </si>
  <si>
    <t xml:space="preserve">ANÍBAL PEREIRA DE ARAÚJO</t>
  </si>
  <si>
    <t xml:space="preserve">004867/2024</t>
  </si>
  <si>
    <t xml:space="preserve">PREFEITURA MUNICIPAL DE PARAÚ/RN</t>
  </si>
  <si>
    <t xml:space="preserve">Antônio Carlos Peixoto Nunes</t>
  </si>
  <si>
    <t xml:space="preserve">004886/2024</t>
  </si>
  <si>
    <t xml:space="preserve">ANTÔNIO MARCOS DE ABREU PEIXOTO</t>
  </si>
  <si>
    <t xml:space="preserve">000414/2024</t>
  </si>
  <si>
    <t xml:space="preserve">CÂMARA MUNICIPAL DE UMARIZAL</t>
  </si>
  <si>
    <t xml:space="preserve">ANTONIO ROBERIO DANTAS DELFINO (VEREADOR)</t>
  </si>
  <si>
    <t xml:space="preserve">Após osegunda noticicação, advogado entrou com pedido de parcelamento em 13/06</t>
  </si>
  <si>
    <t xml:space="preserve">000447/2024</t>
  </si>
  <si>
    <t xml:space="preserve">PREFEITURA MUNICIPAL DE TAIPU</t>
  </si>
  <si>
    <t xml:space="preserve">Ariosvaldo Bandeira Junior</t>
  </si>
  <si>
    <t xml:space="preserve">Abrir APR e seguir com a execução por outros meios</t>
  </si>
  <si>
    <t xml:space="preserve">004887/2024</t>
  </si>
  <si>
    <t xml:space="preserve">PREFEITURA MUNICIPAL DE NATAL</t>
  </si>
  <si>
    <t xml:space="preserve">BRENNO OLIVEIRA QUEIROGA DE MORAIS</t>
  </si>
  <si>
    <t xml:space="preserve">004888/2024</t>
  </si>
  <si>
    <t xml:space="preserve">Câmara Municipal de Pedro Avelino</t>
  </si>
  <si>
    <t xml:space="preserve">Brunno Érico Teodoro Ferreira</t>
  </si>
  <si>
    <t xml:space="preserve">000481/2024</t>
  </si>
  <si>
    <t xml:space="preserve">PREFEITURA MUNICIPAL DE LUÍS GOMES/RN</t>
  </si>
  <si>
    <t xml:space="preserve">CARLOS AUGUSTO DE PAIVA (ATUAL PREFEITO)</t>
  </si>
  <si>
    <t xml:space="preserve">004871/2024</t>
  </si>
  <si>
    <t xml:space="preserve">PREFEITURA MUNICIPAL DE MAJOR SALES</t>
  </si>
  <si>
    <t xml:space="preserve">CARLOS JOSÉ FERNANDES</t>
  </si>
  <si>
    <t xml:space="preserve">011032/2016</t>
  </si>
  <si>
    <t xml:space="preserve">PREFEITURA MUNICIPAL DE MAJOR SALES
</t>
  </si>
  <si>
    <t xml:space="preserve">001459/2023</t>
  </si>
  <si>
    <t xml:space="preserve">PREFEITURA MUNICIPAL DE PEDRA PRETA</t>
  </si>
  <si>
    <t xml:space="preserve">CARMEM JUCIENE CAMARA DA LUZ</t>
  </si>
  <si>
    <t xml:space="preserve">000724/2025</t>
  </si>
  <si>
    <t xml:space="preserve">SERVIÇO AUTÔNOMO DE ÁGUA E ESGOTOS DE MAXARANGUAPE</t>
  </si>
  <si>
    <t xml:space="preserve">Charles de Souto Bezerra</t>
  </si>
  <si>
    <t xml:space="preserve">004904/2024</t>
  </si>
  <si>
    <t xml:space="preserve">ITEP</t>
  </si>
  <si>
    <t xml:space="preserve">Cícero Sabino Neto</t>
  </si>
  <si>
    <t xml:space="preserve">000403/2025</t>
  </si>
  <si>
    <t xml:space="preserve">PREFEITURA MUNICIPAL DE PILÕES</t>
  </si>
  <si>
    <t xml:space="preserve">Remanescente cancelado</t>
  </si>
  <si>
    <t xml:space="preserve">001480/2025</t>
  </si>
  <si>
    <t xml:space="preserve">DF visto no SIAI DP e na informação do ITEP no processo 004904/2024</t>
  </si>
  <si>
    <t xml:space="preserve">000732/2025</t>
  </si>
  <si>
    <t xml:space="preserve">INST. DE PREV. DOS SERVIDORES DE RIACHUELO</t>
  </si>
  <si>
    <t xml:space="preserve">CLARA KESIA CANDIDO DE MEDEIROS</t>
  </si>
  <si>
    <t xml:space="preserve">002541/2024</t>
  </si>
  <si>
    <t xml:space="preserve">CAMARA MUNICIPAL DE SANTA CRUZ</t>
  </si>
  <si>
    <t xml:space="preserve">CLAUDIO MARQUES DE MACEDO, PREFEITO</t>
  </si>
  <si>
    <t xml:space="preserve">Sem vínculo</t>
  </si>
  <si>
    <t xml:space="preserve">000407/2024</t>
  </si>
  <si>
    <t xml:space="preserve">PREFEITURA MUNICIPAL DE CORONEL EZEQUIEL</t>
  </si>
  <si>
    <t xml:space="preserve">000850/2025</t>
  </si>
  <si>
    <t xml:space="preserve">SEAD/RN</t>
  </si>
  <si>
    <t xml:space="preserve">CLEMENCEAU ALVES</t>
  </si>
  <si>
    <t xml:space="preserve">002595/2024</t>
  </si>
  <si>
    <t xml:space="preserve">PREFEITURA MUNICIPAL DE RAFAEL GODEIRO</t>
  </si>
  <si>
    <t xml:space="preserve">Clevilandia Samara de Vasconcelos Belarmino</t>
  </si>
  <si>
    <t xml:space="preserve">004896/2024</t>
  </si>
  <si>
    <t xml:space="preserve">PREFEITURA MUNICIPAL DE CAIÇARA DO RIO DOS VENTOS</t>
  </si>
  <si>
    <t xml:space="preserve">CONCEICAO DE MARIA GOMES LISBOA ROCHA</t>
  </si>
  <si>
    <t xml:space="preserve">004921/2024</t>
  </si>
  <si>
    <t xml:space="preserve">Cristina Diniz Barreto de Paiva</t>
  </si>
  <si>
    <t xml:space="preserve">000876/2025</t>
  </si>
  <si>
    <t xml:space="preserve">Câmara Municipal de Serra Caiada</t>
  </si>
  <si>
    <t xml:space="preserve">Edilmo Lira</t>
  </si>
  <si>
    <t xml:space="preserve">004903/2024</t>
  </si>
  <si>
    <t xml:space="preserve">PREFEITURA MUNICIPAL DE EXTREMOZ/EXTREMOZPREV </t>
  </si>
  <si>
    <t xml:space="preserve">Edinalva Nascimento de Araújo</t>
  </si>
  <si>
    <t xml:space="preserve">000731/2025</t>
  </si>
  <si>
    <t xml:space="preserve">ALRN</t>
  </si>
  <si>
    <t xml:space="preserve">Edmilson Targino de Oliveira Bezerra</t>
  </si>
  <si>
    <t xml:space="preserve">002617/2024</t>
  </si>
  <si>
    <t xml:space="preserve">EGIDIO DANTAS DE MEDEIROS FILHO</t>
  </si>
  <si>
    <t xml:space="preserve">Prcesso arquivado. Dívida encaminhada à PGE/RN.</t>
  </si>
  <si>
    <t xml:space="preserve">002057/2024</t>
  </si>
  <si>
    <t xml:space="preserve">Câmara Municipal de Tenente Laurentino Cruz</t>
  </si>
  <si>
    <t xml:space="preserve">ELIODELSON BEZERRA DA SILVA</t>
  </si>
  <si>
    <t xml:space="preserve">002570/2024</t>
  </si>
  <si>
    <t xml:space="preserve">CÂMARA MUNICIPAL DE SERRA NEGRA DO NORTE</t>
  </si>
  <si>
    <t xml:space="preserve">ERALDO ALVES DE ARAÚJO</t>
  </si>
  <si>
    <t xml:space="preserve">002059/2024</t>
  </si>
  <si>
    <t xml:space="preserve">PREFEITURA MUNICIPAL DE SANTANA DO MATOS</t>
  </si>
  <si>
    <t xml:space="preserve">Erinaldo Florencio Xavier da Costa</t>
  </si>
  <si>
    <t xml:space="preserve">000853/2025</t>
  </si>
  <si>
    <t xml:space="preserve">CÂMARA MUNICIPAL DE TAIPU</t>
  </si>
  <si>
    <t xml:space="preserve">ERIVAN PINHEIRO DE LIMA</t>
  </si>
  <si>
    <t xml:space="preserve">000879/2025</t>
  </si>
  <si>
    <t xml:space="preserve">PREFEITURA MUNICIPAL DE SERRA DE SÃO BENTO</t>
  </si>
  <si>
    <t xml:space="preserve">EUCLIDES PINTO FEREIRA NETO</t>
  </si>
  <si>
    <t xml:space="preserve">003411/2024</t>
  </si>
  <si>
    <t xml:space="preserve">CÂMARA MUNICIPAL DE GUAMARÉ</t>
  </si>
  <si>
    <t xml:space="preserve">Eudes Miranda da Fonseca</t>
  </si>
  <si>
    <t xml:space="preserve">003408/2024</t>
  </si>
  <si>
    <t xml:space="preserve">Prefeitura de Nísia Floresta</t>
  </si>
  <si>
    <t xml:space="preserve">EUGÊNIO GALVÃO GONDIM</t>
  </si>
  <si>
    <t xml:space="preserve">002034/2024</t>
  </si>
  <si>
    <t xml:space="preserve">EXPEDITO SALVIANO</t>
  </si>
  <si>
    <t xml:space="preserve">001489/2025</t>
  </si>
  <si>
    <t xml:space="preserve">FABIANO HENRIQUE DE SOUZA TEIXEIRA</t>
  </si>
  <si>
    <t xml:space="preserve">001479/2025</t>
  </si>
  <si>
    <t xml:space="preserve">CÂMARA MUNICIPAL DE EXTREMOZ</t>
  </si>
  <si>
    <t xml:space="preserve">Fábio Vicente da Silva</t>
  </si>
  <si>
    <t xml:space="preserve">003419/2024</t>
  </si>
  <si>
    <t xml:space="preserve">CÂMARA MUNICIPAL DE MONTE ALEGRE</t>
  </si>
  <si>
    <t xml:space="preserve">FAGNER FERREIRA DA SILVA</t>
  </si>
  <si>
    <t xml:space="preserve">003359/2024</t>
  </si>
  <si>
    <t xml:space="preserve">000407/2025</t>
  </si>
  <si>
    <t xml:space="preserve"> PREFEITURA MUNICIPAL DE LAJES</t>
  </si>
  <si>
    <t xml:space="preserve">FELIPE FERREIRA MENEZES ARAUJO</t>
  </si>
  <si>
    <t xml:space="preserve">002027/2024</t>
  </si>
  <si>
    <t xml:space="preserve">SESAP/RN</t>
  </si>
  <si>
    <t xml:space="preserve">00610109.002966/2024-80</t>
  </si>
  <si>
    <t xml:space="preserve">FERNANDA  LUCIA NASCIMENTO FREIRE</t>
  </si>
  <si>
    <t xml:space="preserve">003287/2023</t>
  </si>
  <si>
    <t xml:space="preserve">FERNANDO CUNHA LIMA BEZERRA</t>
  </si>
  <si>
    <t xml:space="preserve">004893/2024</t>
  </si>
  <si>
    <t xml:space="preserve">SEECRN</t>
  </si>
  <si>
    <t xml:space="preserve">FLAVIANO MOREIRA MONTEIRO</t>
  </si>
  <si>
    <t xml:space="preserve">000408/2024</t>
  </si>
  <si>
    <t xml:space="preserve">FRANCISCA SHIRLEY FERREIRA TARGINO</t>
  </si>
  <si>
    <t xml:space="preserve">03391/2024</t>
  </si>
  <si>
    <t xml:space="preserve">Prefeitura Municipal de Porto do Mangue</t>
  </si>
  <si>
    <t xml:space="preserve">FRANCISCO ANTONIO FAUSTINO</t>
  </si>
  <si>
    <t xml:space="preserve">003396/2024</t>
  </si>
  <si>
    <t xml:space="preserve">FRANCISCO DAS CHAGAS DE MEDEIROS</t>
  </si>
  <si>
    <t xml:space="preserve">002400/2025</t>
  </si>
  <si>
    <t xml:space="preserve">Francisco Das Chagas de Oliveira Silva</t>
  </si>
  <si>
    <t xml:space="preserve">003636/2017</t>
  </si>
  <si>
    <t xml:space="preserve">Prefeitura Municipal de Jardim de Angicos</t>
  </si>
  <si>
    <t xml:space="preserve">FRANCISCO DE ASSIS DE SOUZA</t>
  </si>
  <si>
    <t xml:space="preserve">002542/2024</t>
  </si>
  <si>
    <t xml:space="preserve">IPAMA de Alexandria</t>
  </si>
  <si>
    <t xml:space="preserve">FRANCISCO MARCOLINO NETO</t>
  </si>
  <si>
    <t xml:space="preserve">001841/2025</t>
  </si>
  <si>
    <t xml:space="preserve">INSTITUTO DE PREVIDÊNCIA DO MUNICÍPIO DE ALEXANDRIA</t>
  </si>
  <si>
    <t xml:space="preserve">Francisco Nobre Neto</t>
  </si>
  <si>
    <t xml:space="preserve">002004/2024</t>
  </si>
  <si>
    <t xml:space="preserve">Câmara Municipal de Grossos</t>
  </si>
  <si>
    <t xml:space="preserve">FRANCISCO RICHARLLYTON DE OLIVEIRA GOMES</t>
  </si>
  <si>
    <t xml:space="preserve">000723/2025</t>
  </si>
  <si>
    <t xml:space="preserve">CÂMARA MUNICIPAL DE GROSSOS</t>
  </si>
  <si>
    <t xml:space="preserve">003267/2023</t>
  </si>
  <si>
    <t xml:space="preserve">PREFEITURA MUNICIPAL DE ITAÚ</t>
  </si>
  <si>
    <t xml:space="preserve">FRANCISCO ROGERIO MELO DE FREITAS</t>
  </si>
  <si>
    <t xml:space="preserve">003341/2024</t>
  </si>
  <si>
    <t xml:space="preserve">CÂMARA MUNICIPAL DE RIO DO FOGO</t>
  </si>
  <si>
    <t xml:space="preserve">FRANCISCO SILVANEI DOS SANTOS (VEREADOR)</t>
  </si>
  <si>
    <t xml:space="preserve">FRANCISCO TADEU NUNES</t>
  </si>
  <si>
    <t xml:space="preserve">003282/2023</t>
  </si>
  <si>
    <t xml:space="preserve">SEAD</t>
  </si>
  <si>
    <t xml:space="preserve">GAUDEFRAN JOSÉ GUEDES DE SOUZA</t>
  </si>
  <si>
    <t xml:space="preserve">002605/2024</t>
  </si>
  <si>
    <t xml:space="preserve">PREFEITURA MUNICIPAL DE GOV DIX SEPT ROSADO</t>
  </si>
  <si>
    <t xml:space="preserve">GENIVALDO FELIPE DA SILVA</t>
  </si>
  <si>
    <t xml:space="preserve">002612/2024</t>
  </si>
  <si>
    <t xml:space="preserve">PREFEITURA MUNICIPAL DE IELMO MARINHO</t>
  </si>
  <si>
    <t xml:space="preserve">Germano Jacome Patriota</t>
  </si>
  <si>
    <t xml:space="preserve">001388/2023</t>
  </si>
  <si>
    <t xml:space="preserve">DNIT</t>
  </si>
  <si>
    <t xml:space="preserve">Getúlio Batista da Silva Neto</t>
  </si>
  <si>
    <t xml:space="preserve">004773/2024</t>
  </si>
  <si>
    <t xml:space="preserve">Federal</t>
  </si>
  <si>
    <t xml:space="preserve">IFRN</t>
  </si>
  <si>
    <t xml:space="preserve">GETÚLIO MARQUES FERREIRA</t>
  </si>
  <si>
    <t xml:space="preserve">000869/2025</t>
  </si>
  <si>
    <t xml:space="preserve">CÂMARA MUNICIPAL DE MACAU</t>
  </si>
  <si>
    <t xml:space="preserve">GIVAGNO PATRESE DA SILVA BEZERRA</t>
  </si>
  <si>
    <t xml:space="preserve">002032/2024</t>
  </si>
  <si>
    <t xml:space="preserve"> SETHAS/RN</t>
  </si>
  <si>
    <t xml:space="preserve"> 02010041.000081/2025-52</t>
  </si>
  <si>
    <t xml:space="preserve">HAROLDO GOMES DA SILVA</t>
  </si>
  <si>
    <t xml:space="preserve">002033/2024</t>
  </si>
  <si>
    <t xml:space="preserve">SETHAS/RN</t>
  </si>
  <si>
    <t xml:space="preserve">002035/2024</t>
  </si>
  <si>
    <t xml:space="preserve">001493/2025</t>
  </si>
  <si>
    <t xml:space="preserve">001494/2025</t>
  </si>
  <si>
    <t xml:space="preserve">002572/2024</t>
  </si>
  <si>
    <t xml:space="preserve">Prefeitura Municipal de Lajes Pintada</t>
  </si>
  <si>
    <t xml:space="preserve">Haroldo Junior da Silva Fernandes</t>
  </si>
  <si>
    <t xml:space="preserve">002401/2025</t>
  </si>
  <si>
    <t xml:space="preserve">PREFEITURA MUNICIPAL DE GUAMARÉ</t>
  </si>
  <si>
    <t xml:space="preserve">HÉLIO WILLAMY MIRANDA DA FONSECA</t>
  </si>
  <si>
    <t xml:space="preserve">004916/2024</t>
  </si>
  <si>
    <t xml:space="preserve">MINISTÉRIO DA SAUDE</t>
  </si>
  <si>
    <t xml:space="preserve">25000.049860/2025-39</t>
  </si>
  <si>
    <t xml:space="preserve">Heriberto Ribeiro de Oliveira</t>
  </si>
  <si>
    <t xml:space="preserve">Este processo tem varios responsa´veis - verificar melhor </t>
  </si>
  <si>
    <t xml:space="preserve">000730/2025</t>
  </si>
  <si>
    <t xml:space="preserve">Prefeitura Municipal de Caiçara do Rio do Vento</t>
  </si>
  <si>
    <t xml:space="preserve">HUMBERTO HENRIQUE DE ANDRADE PEREIRA</t>
  </si>
  <si>
    <t xml:space="preserve">000854/2025</t>
  </si>
  <si>
    <t xml:space="preserve">Isoares Martins de Oliveira</t>
  </si>
  <si>
    <t xml:space="preserve">003020/2022</t>
  </si>
  <si>
    <t xml:space="preserve">Câmara Dos Deputados</t>
  </si>
  <si>
    <t xml:space="preserve">Ivan Lopes Junior</t>
  </si>
  <si>
    <t xml:space="preserve">Suspenso por decisão judicial</t>
  </si>
  <si>
    <t xml:space="preserve">002611/2024</t>
  </si>
  <si>
    <t xml:space="preserve">IVANILDO FERNANDES DE OLIVEIRA</t>
  </si>
  <si>
    <t xml:space="preserve">Nulidade da certidão de trânsito em
julgado. Cancelamento do desconto em folha.</t>
  </si>
  <si>
    <t xml:space="preserve">Prefeitura Municipal de São José do Campestre</t>
  </si>
  <si>
    <t xml:space="preserve">Jailson José da Silva</t>
  </si>
  <si>
    <t xml:space="preserve">000872/2025</t>
  </si>
  <si>
    <t xml:space="preserve">CÂMARA MUNICIPAL DE SERRA CAIADA</t>
  </si>
  <si>
    <t xml:space="preserve">JAILSON MENDONÇA DA SILVA</t>
  </si>
  <si>
    <t xml:space="preserve">002587/2024</t>
  </si>
  <si>
    <t xml:space="preserve"> PREFEITURA MUNICIPAL DE MONTE DAS GAMELEIRAS</t>
  </si>
  <si>
    <t xml:space="preserve">JAÍLTON FÉLIX DE PONTES - ATUAL PREFEITO</t>
  </si>
  <si>
    <t xml:space="preserve">004905/2024</t>
  </si>
  <si>
    <t xml:space="preserve">Jailton José Barbosa Tinôco</t>
  </si>
  <si>
    <t xml:space="preserve">001399/2023</t>
  </si>
  <si>
    <t xml:space="preserve">Câmara Municipal de São Tomé</t>
  </si>
  <si>
    <t xml:space="preserve">Jean Makson de Lino Cordeiro</t>
  </si>
  <si>
    <t xml:space="preserve">Remetido à PGE</t>
  </si>
  <si>
    <t xml:space="preserve">001415/2023</t>
  </si>
  <si>
    <t xml:space="preserve">002061/2024</t>
  </si>
  <si>
    <t xml:space="preserve">000065/2025</t>
  </si>
  <si>
    <t xml:space="preserve">Prefeitura Municipal de Brejinho</t>
  </si>
  <si>
    <t xml:space="preserve">JOÃO BATISTA GOMES GONÇALVES</t>
  </si>
  <si>
    <t xml:space="preserve">Suspenso por decisão judicial.</t>
  </si>
  <si>
    <t xml:space="preserve">JOÃO DIMAS BEZERRA</t>
  </si>
  <si>
    <t xml:space="preserve">000067/2025</t>
  </si>
  <si>
    <t xml:space="preserve">Joao Evangelista de Meneses Filho</t>
  </si>
  <si>
    <t xml:space="preserve">SEEC/RN</t>
  </si>
  <si>
    <t xml:space="preserve">000721/2025</t>
  </si>
  <si>
    <t xml:space="preserve">PREFEITURA MUNICIPAL DE SÃO BENTO DO NORTE</t>
  </si>
  <si>
    <t xml:space="preserve">João Maria Montenegro da Silva</t>
  </si>
  <si>
    <t xml:space="preserve">003413/2024</t>
  </si>
  <si>
    <t xml:space="preserve">000415/2025</t>
  </si>
  <si>
    <t xml:space="preserve">PREFEITURA MUNICIPAL DE SAO BENTO DO NORTE</t>
  </si>
  <si>
    <t xml:space="preserve">002028/2024</t>
  </si>
  <si>
    <t xml:space="preserve">devolvido</t>
  </si>
  <si>
    <t xml:space="preserve">Câmara Municipal de Serra de São Bento</t>
  </si>
  <si>
    <t xml:space="preserve">JOÃO PAULINO DOS SANTOS (VEREADOR )</t>
  </si>
  <si>
    <t xml:space="preserve">002620/2024</t>
  </si>
  <si>
    <t xml:space="preserve">PREFEITURA MUNICIPAL DE LAGOA DANTA</t>
  </si>
  <si>
    <t xml:space="preserve">JOÃO PAULO GUEDES LOPES, PREFEITO</t>
  </si>
  <si>
    <t xml:space="preserve">000474/2024</t>
  </si>
  <si>
    <t xml:space="preserve">PREFEITURA MUNICIPAL DE ANTÔNIO MARTINS</t>
  </si>
  <si>
    <t xml:space="preserve">Jorge Vinicius de Oliveira Fernandes - Prefeito</t>
  </si>
  <si>
    <t xml:space="preserve">003266/2023</t>
  </si>
  <si>
    <t xml:space="preserve">JOSÉ AIRTON BEZERRA</t>
  </si>
  <si>
    <t xml:space="preserve">003347/2024</t>
  </si>
  <si>
    <t xml:space="preserve">José Airton Bezerra (atual Prefeito)</t>
  </si>
  <si>
    <t xml:space="preserve">002012/2025</t>
  </si>
  <si>
    <t xml:space="preserve">Prefeitura Municipal de Afonso Bezerra</t>
  </si>
  <si>
    <t xml:space="preserve">JOSÉ ALEXANDRE SOBRINHO</t>
  </si>
  <si>
    <t xml:space="preserve">002064/2024</t>
  </si>
  <si>
    <t xml:space="preserve">CÂMARA MUNCIPAL DE ALMINO AFONSO</t>
  </si>
  <si>
    <t xml:space="preserve">JOSÉ ALVES PONTES FILHO</t>
  </si>
  <si>
    <t xml:space="preserve">Resposta: Não possui margem para desconto. Vai passar a informação para a proxima gestão implementar em fevereiro/2025</t>
  </si>
  <si>
    <t xml:space="preserve">001496/2025</t>
  </si>
  <si>
    <t xml:space="preserve">Câmara Municipal de Almino Afonso</t>
  </si>
  <si>
    <t xml:space="preserve">003357/2024</t>
  </si>
  <si>
    <t xml:space="preserve">003398/2024</t>
  </si>
  <si>
    <t xml:space="preserve">MINISTÉRIO DA PREVIDENCIA SOCIAL</t>
  </si>
  <si>
    <t xml:space="preserve">14021.022440/2025-41</t>
  </si>
  <si>
    <t xml:space="preserve">JOSÉ ANTÔNIO DE MENEZES SOUZA</t>
  </si>
  <si>
    <t xml:space="preserve">002594/2024</t>
  </si>
  <si>
    <t xml:space="preserve">Prefeitura Municipal de São Bento do Trairi</t>
  </si>
  <si>
    <t xml:space="preserve">JOSÉ ARACLEIDE DE ARAÚJO</t>
  </si>
  <si>
    <t xml:space="preserve">003393/2024</t>
  </si>
  <si>
    <t xml:space="preserve">001486/2025</t>
  </si>
  <si>
    <t xml:space="preserve">José Borges Segundo</t>
  </si>
  <si>
    <t xml:space="preserve">001484/2025</t>
  </si>
  <si>
    <t xml:space="preserve">CÂMARA MUNICIPAL DE FRUTUOSO GOMES</t>
  </si>
  <si>
    <t xml:space="preserve">JOSÉ CLÉZIO PAULINO CAVALCANTE</t>
  </si>
  <si>
    <t xml:space="preserve">000412/2024</t>
  </si>
  <si>
    <t xml:space="preserve">Câmara Municipal de Frutuoso Gomes</t>
  </si>
  <si>
    <t xml:space="preserve">JOSÉ CLÉZIO PAULINO CAVALCANTE (VEREADOR)</t>
  </si>
  <si>
    <t xml:space="preserve">000871/2025</t>
  </si>
  <si>
    <t xml:space="preserve">TJRN</t>
  </si>
  <si>
    <t xml:space="preserve">JOSÉ DE ANCHIETA PADILHA DE BRITO</t>
  </si>
  <si>
    <t xml:space="preserve">001864/2025</t>
  </si>
  <si>
    <t xml:space="preserve">GABINETE CIVIL DO GOVERNADOR</t>
  </si>
  <si>
    <t xml:space="preserve">00810007.003101/2025-59</t>
  </si>
  <si>
    <t xml:space="preserve">Jose de Arimateia Braz</t>
  </si>
  <si>
    <t xml:space="preserve">002167/2025</t>
  </si>
  <si>
    <t xml:space="preserve">Jose Edvaldo Guimaraes Junior</t>
  </si>
  <si>
    <t xml:space="preserve">001498/2025</t>
  </si>
  <si>
    <t xml:space="preserve">Prefeitura Municipal de Santa Maria </t>
  </si>
  <si>
    <t xml:space="preserve">José Erivaldo Dias</t>
  </si>
  <si>
    <t xml:space="preserve">Sem vínculo com Câmara.</t>
  </si>
  <si>
    <t xml:space="preserve">000413/2025</t>
  </si>
  <si>
    <t xml:space="preserve">PREFEITURA MUNICIPAL DE TRIUNFO POTIGUAR</t>
  </si>
  <si>
    <t xml:space="preserve">JOSÉ GILDENOR DA FONSECA</t>
  </si>
  <si>
    <t xml:space="preserve">003367/2024</t>
  </si>
  <si>
    <t xml:space="preserve">JOSÉ RIBAMAR LEITE NÓBREGA</t>
  </si>
  <si>
    <t xml:space="preserve">000423/2024</t>
  </si>
  <si>
    <t xml:space="preserve">IPERN / Prefeitura Municipal de Ipueira</t>
  </si>
  <si>
    <t xml:space="preserve">03810015.004516/2025-57 </t>
  </si>
  <si>
    <t xml:space="preserve">JOSÉ RIBAMAR LEITE NÓBREGA (VICE PREFEITO)</t>
  </si>
  <si>
    <t xml:space="preserve">Descontou 1 parcela em dezembro de 2024. Perdeu o mandato, não tem mais vínculo. 2ª Notif. IPERN</t>
  </si>
  <si>
    <t xml:space="preserve">003406/2024</t>
  </si>
  <si>
    <t xml:space="preserve">CÂMARA DOS DEPUTADOS</t>
  </si>
  <si>
    <t xml:space="preserve">JOSÉ ROBERTO DE SOUZA</t>
  </si>
  <si>
    <t xml:space="preserve">002574/2024</t>
  </si>
  <si>
    <t xml:space="preserve">Câmara Municipal de Santa Cruz</t>
  </si>
  <si>
    <t xml:space="preserve">Josemar Ferreira bezerra</t>
  </si>
  <si>
    <t xml:space="preserve">002011/2024</t>
  </si>
  <si>
    <t xml:space="preserve">Câmara Municipal de Rio do Fogo</t>
  </si>
  <si>
    <t xml:space="preserve">Josiane de Lima Rodrigues</t>
  </si>
  <si>
    <t xml:space="preserve">000466/2024</t>
  </si>
  <si>
    <t xml:space="preserve">Câmara Municipal de Messias Targino</t>
  </si>
  <si>
    <t xml:space="preserve">Juscelino Herculano Jales, Vereador</t>
  </si>
  <si>
    <t xml:space="preserve">Adimpliu 2 parcelas do primeiro parcelamento. Reabriu parcelamento em julho/2025.</t>
  </si>
  <si>
    <t xml:space="preserve">000728/2025</t>
  </si>
  <si>
    <t xml:space="preserve">PREFEITURA MUNICIPAL DE TENENTE ANANIAS</t>
  </si>
  <si>
    <t xml:space="preserve">KALIANDRA MARIA DA CONCEIÇÃO FREITAS MOTA LIMA</t>
  </si>
  <si>
    <t xml:space="preserve">002030/2024</t>
  </si>
  <si>
    <t xml:space="preserve">Prefeitura Mun. de Marcelino Vieira</t>
  </si>
  <si>
    <t xml:space="preserve">KERLES JACOME SARMENTO, PREFEITO</t>
  </si>
  <si>
    <t xml:space="preserve">Remanescente de centavos - corrigir</t>
  </si>
  <si>
    <t xml:space="preserve">000060/2025</t>
  </si>
  <si>
    <t xml:space="preserve">PREFEITURA MUNICIPAL DE CEARA MIRIM/RN</t>
  </si>
  <si>
    <t xml:space="preserve">KLAUSS FRANCISCO TORQUATO RÊGO</t>
  </si>
  <si>
    <t xml:space="preserve">004870/2024</t>
  </si>
  <si>
    <t xml:space="preserve">001851/2025</t>
  </si>
  <si>
    <t xml:space="preserve">Laerte Ney de Paiva Fagundes</t>
  </si>
  <si>
    <t xml:space="preserve">004876/2024</t>
  </si>
  <si>
    <t xml:space="preserve">Prefeitura Municipal de Santana do Matos</t>
  </si>
  <si>
    <t xml:space="preserve">LARDJANE CIRIACO DE ARAUJO MACEDO</t>
  </si>
  <si>
    <t xml:space="preserve">001499/2025</t>
  </si>
  <si>
    <t xml:space="preserve">Lenivaldo Brasil Fernandes</t>
  </si>
  <si>
    <t xml:space="preserve">000862/2025</t>
  </si>
  <si>
    <t xml:space="preserve">PREFEITURA MUNICIPAL DE LAGOA SALGADA</t>
  </si>
  <si>
    <t xml:space="preserve">LORENA KATIUSCIA BURITI DE SOUSA FREIRE</t>
  </si>
  <si>
    <t xml:space="preserve">003356/2024</t>
  </si>
  <si>
    <t xml:space="preserve">Luana Pedrosa Bruno Moura</t>
  </si>
  <si>
    <t xml:space="preserve">Não ficou claro o valor do desconto. Não foi comprovada nos autos a transferência.</t>
  </si>
  <si>
    <t xml:space="preserve">DECISÃO JUDICIAL SUSPENDENDO</t>
  </si>
  <si>
    <t xml:space="preserve">002571/2024</t>
  </si>
  <si>
    <t xml:space="preserve">LUCIANO DA CUNHA GOMES</t>
  </si>
  <si>
    <t xml:space="preserve">000471/2024</t>
  </si>
  <si>
    <t xml:space="preserve">INSTITUTO DE PREVIDÊNCIA MUNICIPAL DE CEARÁ MIRIM</t>
  </si>
  <si>
    <t xml:space="preserve">Luis Antonio de Lima Ferreira - Presidente</t>
  </si>
  <si>
    <t xml:space="preserve">Prefeitura Municipal de Natal</t>
  </si>
  <si>
    <t xml:space="preserve">LUIZ ALBERTO BEZERRA FERREIRA DE SOUZA</t>
  </si>
  <si>
    <t xml:space="preserve">Responsável faleceu</t>
  </si>
  <si>
    <t xml:space="preserve">000061/2025</t>
  </si>
  <si>
    <t xml:space="preserve">CÂMARA MUNICIPAL DE RAFAEL FERNANDES
</t>
  </si>
  <si>
    <t xml:space="preserve">Luiz Carvalho de Oliveira</t>
  </si>
  <si>
    <t xml:space="preserve">001454/2023</t>
  </si>
  <si>
    <t xml:space="preserve">00410096.000677/2025-24,</t>
  </si>
  <si>
    <t xml:space="preserve">Lydemberg Aquino de Medeiros</t>
  </si>
  <si>
    <t xml:space="preserve">002025/2024</t>
  </si>
  <si>
    <t xml:space="preserve">CÂMARA MUNICIPAL DE VIÇOSA</t>
  </si>
  <si>
    <t xml:space="preserve">MANOEL GILBERTO LOPES (VEREADOR)</t>
  </si>
  <si>
    <t xml:space="preserve">003392/2024</t>
  </si>
  <si>
    <t xml:space="preserve">MANOEL MARCONE BEZERRA</t>
  </si>
  <si>
    <t xml:space="preserve">002019/2025</t>
  </si>
  <si>
    <t xml:space="preserve">UFRN</t>
  </si>
  <si>
    <t xml:space="preserve">MARCO AURELIO MARTINS DE ALMEIDA</t>
  </si>
  <si>
    <t xml:space="preserve">002602/2024</t>
  </si>
  <si>
    <t xml:space="preserve">Maria Adilene de Souza</t>
  </si>
  <si>
    <t xml:space="preserve">003400/2024</t>
  </si>
  <si>
    <t xml:space="preserve">UERN</t>
  </si>
  <si>
    <t xml:space="preserve">04410002.002507/2025-28</t>
  </si>
  <si>
    <t xml:space="preserve">MARIA AUXILIADORA PRAXEDES DE FREITAS</t>
  </si>
  <si>
    <t xml:space="preserve">003270/2023</t>
  </si>
  <si>
    <t xml:space="preserve">CÂMARA MUNICIPAL DE ESPÍRITO SANTO</t>
  </si>
  <si>
    <t xml:space="preserve">MARIA FERNANDA SIMAS ARANHA TEIXEIRA DE CARVALHO</t>
  </si>
  <si>
    <t xml:space="preserve">000874/2025</t>
  </si>
  <si>
    <t xml:space="preserve">00610109.001841/2025-13 </t>
  </si>
  <si>
    <t xml:space="preserve">MARIA GORETE LEITE</t>
  </si>
  <si>
    <t xml:space="preserve">001492/2025</t>
  </si>
  <si>
    <t xml:space="preserve">Maria Helena Leite de Queiroga</t>
  </si>
  <si>
    <t xml:space="preserve">003343/2024</t>
  </si>
  <si>
    <t xml:space="preserve">PREFEITURA MUNICIPAL DE MAXARANGUAPE</t>
  </si>
  <si>
    <t xml:space="preserve">MARIA IVONEIDE DA SILVA</t>
  </si>
  <si>
    <t xml:space="preserve">002619/2024</t>
  </si>
  <si>
    <t xml:space="preserve">PREFEITURA MUNICIPAL DE PAU DOS FERROS</t>
  </si>
  <si>
    <t xml:space="preserve">MARIANNA ALMEIDA NASCIMENTO, PREFEITA</t>
  </si>
  <si>
    <t xml:space="preserve">003344/2024</t>
  </si>
  <si>
    <t xml:space="preserve">MARINEIDE MARINHO PEREIRA DINIZ</t>
  </si>
  <si>
    <t xml:space="preserve">000479/2024</t>
  </si>
  <si>
    <t xml:space="preserve">PREFEITURA MUNICIPAL DE ANGICOS</t>
  </si>
  <si>
    <t xml:space="preserve">MIGUEL PINHEIRO NETO</t>
  </si>
  <si>
    <t xml:space="preserve">004404/2024</t>
  </si>
  <si>
    <t xml:space="preserve">Serviço Autônomo de Água e esgoto de Ceará Mirim</t>
  </si>
  <si>
    <t xml:space="preserve">cancelado</t>
  </si>
  <si>
    <t xml:space="preserve">MONICA MARIA LEMOS BEZERRA</t>
  </si>
  <si>
    <t xml:space="preserve">003414/2024</t>
  </si>
  <si>
    <t xml:space="preserve">NELSON HERMÓGENES DE MEDEIROS FREIRE</t>
  </si>
  <si>
    <t xml:space="preserve">004919/2024</t>
  </si>
  <si>
    <t xml:space="preserve">000405/2025</t>
  </si>
  <si>
    <t xml:space="preserve">Câmara Municipal de ASSÚ</t>
  </si>
  <si>
    <t xml:space="preserve">Odelmo de Moura Rodrigues</t>
  </si>
  <si>
    <t xml:space="preserve">002591/2024</t>
  </si>
  <si>
    <t xml:space="preserve">Prefeitura Municipal de Paraná</t>
  </si>
  <si>
    <t xml:space="preserve">ORIANA RODRIGUES</t>
  </si>
  <si>
    <t xml:space="preserve">Resposta: Não encontrou servidor com o CPF cadastrado</t>
  </si>
  <si>
    <t xml:space="preserve">003403/2024</t>
  </si>
  <si>
    <t xml:space="preserve">PAULO BERNARDO DE ANDRADE JÚNIOR</t>
  </si>
  <si>
    <t xml:space="preserve">001850/2025</t>
  </si>
  <si>
    <t xml:space="preserve">CÂMARA MUNICIPAL DE TIBAU DO SUL</t>
  </si>
  <si>
    <t xml:space="preserve">Paulo de Lima Ferreira</t>
  </si>
  <si>
    <t xml:space="preserve">003366/2024</t>
  </si>
  <si>
    <t xml:space="preserve">IDEMA</t>
  </si>
  <si>
    <t xml:space="preserve">02810010.000931/2025-46</t>
  </si>
  <si>
    <t xml:space="preserve">PAULO DE TARSO BEZERRA</t>
  </si>
  <si>
    <t xml:space="preserve">002154/2025</t>
  </si>
  <si>
    <t xml:space="preserve">FUNDO DE PREVIDÊNCIA SOCIAL DO MUNICÍPIO DE PATU</t>
  </si>
  <si>
    <t xml:space="preserve">PETRONILO NAURI LIMA DE SOUZA</t>
  </si>
  <si>
    <t xml:space="preserve">003342/2024</t>
  </si>
  <si>
    <t xml:space="preserve">Prefeitura Municipal de Campo Redondo</t>
  </si>
  <si>
    <t xml:space="preserve">RENAM LUIZ DE ALENCAR CARVALHO</t>
  </si>
  <si>
    <t xml:space="preserve">002152/2025</t>
  </si>
  <si>
    <t xml:space="preserve">CÂMARA MUNICIPAL DE BAIA FORMOSA</t>
  </si>
  <si>
    <t xml:space="preserve">Richards Pereira Tertulino</t>
  </si>
  <si>
    <t xml:space="preserve">002031/2024</t>
  </si>
  <si>
    <t xml:space="preserve">SECD/RN</t>
  </si>
  <si>
    <t xml:space="preserve">00410002.001293/2025-21</t>
  </si>
  <si>
    <t xml:space="preserve">RICHARDSON XAVIER CUNHA</t>
  </si>
  <si>
    <t xml:space="preserve">004907/2024</t>
  </si>
  <si>
    <t xml:space="preserve">PREFEITURA MUNICIPAL DE PATU</t>
  </si>
  <si>
    <t xml:space="preserve">RIVELINO CÂMARA</t>
  </si>
  <si>
    <t xml:space="preserve">001483/2025</t>
  </si>
  <si>
    <t xml:space="preserve">Robson de Araujo</t>
  </si>
  <si>
    <t xml:space="preserve">000062/2025</t>
  </si>
  <si>
    <t xml:space="preserve">RONALDO DE OLIVEIRA TEIXEIRA</t>
  </si>
  <si>
    <t xml:space="preserve">Prefeitura
 Municipal de Touros</t>
  </si>
  <si>
    <t xml:space="preserve">Rozangela Maria Silva de As</t>
  </si>
  <si>
    <t xml:space="preserve">000410/2025</t>
  </si>
  <si>
    <t xml:space="preserve">SAULO ADRIANO FERREIRA DA CRUZ</t>
  </si>
  <si>
    <t xml:space="preserve">002013/2025</t>
  </si>
  <si>
    <t xml:space="preserve">SERGIO EDUARDO BEZERRA TEODORO</t>
  </si>
  <si>
    <t xml:space="preserve">004923/2024</t>
  </si>
  <si>
    <t xml:space="preserve">PREFEITURA MUNICIPAL DE PASSAGEM</t>
  </si>
  <si>
    <t xml:space="preserve">SONYARA DE SOUZA RIBEIRO FERREIRA</t>
  </si>
  <si>
    <t xml:space="preserve">002568/2024</t>
  </si>
  <si>
    <t xml:space="preserve">Teresa Cristina da Silva</t>
  </si>
  <si>
    <t xml:space="preserve">002024/2024</t>
  </si>
  <si>
    <t xml:space="preserve">REGIME PRÓPRIO DE PREVIDÊNCIA SOCIAL DE ITAÚ</t>
  </si>
  <si>
    <t xml:space="preserve">THALIA CRISTINA DA SILVA FIGUEIREDO</t>
  </si>
  <si>
    <t xml:space="preserve">Pagou 1 parcelo no site. Não pagou mais. Processo com erro, verificar</t>
  </si>
  <si>
    <t xml:space="preserve">001840/2025</t>
  </si>
  <si>
    <t xml:space="preserve">VALDEREDO BERTOLDO DO NASCIMENTO</t>
  </si>
  <si>
    <t xml:space="preserve">001865/2025</t>
  </si>
  <si>
    <t xml:space="preserve">002005/2024</t>
  </si>
  <si>
    <t xml:space="preserve">VALDEREDO BERTOLDO DO NASCIMENTO (ATUAL PREFEITO )</t>
  </si>
  <si>
    <t xml:space="preserve">003358/2024</t>
  </si>
  <si>
    <t xml:space="preserve">Waldênio Carlos Belarmino de Amorim</t>
  </si>
  <si>
    <t xml:space="preserve">Foi inscrito na dívida ativa. Está em processo de cancelamento da inscrição.</t>
  </si>
  <si>
    <t xml:space="preserve">SEEC/RN / SEAD/RN</t>
  </si>
  <si>
    <t xml:space="preserve">00410002.000425/2025-05</t>
  </si>
  <si>
    <t xml:space="preserve">000877/2025</t>
  </si>
  <si>
    <t xml:space="preserve">Prefeitura Municipal de Serra de São Bento</t>
  </si>
  <si>
    <t xml:space="preserve">Wanessa Gomes de Morais</t>
  </si>
  <si>
    <t xml:space="preserve">003385/2024</t>
  </si>
  <si>
    <t xml:space="preserve">FGPREV - FUNDO DE PREVIDÊNCIA E ASSISTÊNCIA SOCIAL DE FELIPE GUERRA</t>
  </si>
  <si>
    <t xml:space="preserve">Yure da Silva Morais</t>
  </si>
  <si>
    <t xml:space="preserve">003305/2023</t>
  </si>
  <si>
    <t xml:space="preserve">Fundo de Previdência de Assistência do município de Felipe Guerra</t>
  </si>
  <si>
    <t xml:space="preserve">Parcelado, porém cancelado.</t>
  </si>
  <si>
    <t xml:space="preserve">002604/2024</t>
  </si>
  <si>
    <t xml:space="preserve">000863/2025 </t>
  </si>
  <si>
    <t xml:space="preserve">PREFEITURA MUNICIPAL DE BODÓ </t>
  </si>
  <si>
    <t xml:space="preserve">MARCELO MARIO PORTO FILHO </t>
  </si>
  <si>
    <t xml:space="preserve">002163/2025 </t>
  </si>
  <si>
    <t xml:space="preserve">PREFEITURA MUNICIPAL DE VILA FLOR </t>
  </si>
  <si>
    <t xml:space="preserve">Thuanne karla carvalho de souza </t>
  </si>
  <si>
    <t xml:space="preserve">002394/2025 </t>
  </si>
  <si>
    <t xml:space="preserve">ADRIANO GOMES DE OLIVEIRA </t>
  </si>
  <si>
    <t xml:space="preserve">000725/2025 </t>
  </si>
  <si>
    <t xml:space="preserve">002402/2025 </t>
  </si>
  <si>
    <t xml:space="preserve">PREFEITURA MUNICIPAL DE ÁGUA NOVA </t>
  </si>
  <si>
    <t xml:space="preserve">FRANCISCO RONALDO DE SOUZA </t>
  </si>
  <si>
    <t xml:space="preserve">002398/2025 </t>
  </si>
  <si>
    <t xml:space="preserve">Francisco Erasmo de Morais </t>
  </si>
  <si>
    <t xml:space="preserve">000870/2025 </t>
  </si>
  <si>
    <t xml:space="preserve">CÂMARA MUNICIPAL DE TABOLEIRO GRANDE </t>
  </si>
  <si>
    <t xml:space="preserve">FRANCISCO JULIO ARAÚJO </t>
  </si>
  <si>
    <t xml:space="preserve">000868/2025 </t>
  </si>
  <si>
    <t xml:space="preserve">PREFEITURA MUNICIPAL DE NÍSIA FLORESTA </t>
  </si>
  <si>
    <t xml:space="preserve">Camila MACIEL Ferreira </t>
  </si>
  <si>
    <t xml:space="preserve">002157/2025 </t>
  </si>
  <si>
    <t xml:space="preserve">FLÁVIO BARROS BEZERRA </t>
  </si>
  <si>
    <t xml:space="preserve">000088/2023 </t>
  </si>
  <si>
    <t xml:space="preserve">NEREU BATISTA LINHARES </t>
  </si>
  <si>
    <t xml:space="preserve">000101/2022 </t>
  </si>
  <si>
    <t xml:space="preserve">000111/2022 </t>
  </si>
  <si>
    <t xml:space="preserve">003061/2022 </t>
  </si>
  <si>
    <t xml:space="preserve">000125/2022 </t>
  </si>
  <si>
    <t xml:space="preserve">000116/2022 </t>
  </si>
  <si>
    <t xml:space="preserve">002392/2025 </t>
  </si>
  <si>
    <t xml:space="preserve">PREFEITURA MUNICIPAL DE SERRA DE SÃO BENTO </t>
  </si>
  <si>
    <t xml:space="preserve">Wanessa Gomes de Morais  </t>
  </si>
  <si>
    <t xml:space="preserve">001491/2025 </t>
  </si>
  <si>
    <t xml:space="preserve">CÂMARA MUNICIPAL DE MONTE ALEGRE </t>
  </si>
  <si>
    <t xml:space="preserve">Heriberto de Carvalho Chagas </t>
  </si>
  <si>
    <t xml:space="preserve">000404/2025 </t>
  </si>
  <si>
    <t xml:space="preserve">PREFEITURA MUNICIPAL DE CAMPO GRANDE </t>
  </si>
  <si>
    <t xml:space="preserve">ANTONIA MARILANDIA NOGUEIRA DE HOLANDA </t>
  </si>
  <si>
    <t xml:space="preserve">003265/2023 </t>
  </si>
  <si>
    <t xml:space="preserve">000119/2022 </t>
  </si>
  <si>
    <t xml:space="preserve">000123/2022 </t>
  </si>
  <si>
    <t xml:space="preserve">000115/2022 </t>
  </si>
  <si>
    <t xml:space="preserve">NEREU BATISTA LINHARES</t>
  </si>
  <si>
    <t xml:space="preserve">000411/2025 </t>
  </si>
  <si>
    <t xml:space="preserve">PREFEITURA MUNICIPAL DE TENENTE LAURENTINO CRUZ </t>
  </si>
  <si>
    <t xml:space="preserve">FRANCISCO DANTAS DE ARAUJO </t>
  </si>
  <si>
    <t xml:space="preserve">Responsável está aposentado recebendo seus proventos pelo INSS.</t>
  </si>
  <si>
    <t xml:space="preserve">003300/2023 </t>
  </si>
  <si>
    <t xml:space="preserve">Maria Dalva Medeiros de Araujo </t>
  </si>
  <si>
    <t xml:space="preserve">002618/2025 </t>
  </si>
  <si>
    <t xml:space="preserve"> JOSÉ ALVES PONTES FILHO </t>
  </si>
  <si>
    <t xml:space="preserve">002617/2025 </t>
  </si>
  <si>
    <t xml:space="preserve">EXPEDITO SALVIANO </t>
  </si>
  <si>
    <t xml:space="preserve">002612/2025 </t>
  </si>
  <si>
    <t xml:space="preserve">Renato Alexandre Martins da Silva </t>
  </si>
  <si>
    <t xml:space="preserve">002615/2025 </t>
  </si>
  <si>
    <t xml:space="preserve">CONSÓRCIO PÚBLICO INTERFEDERATIVO DE SAÚDE DA REGIÃO DO SERIDÓ</t>
  </si>
  <si>
    <t xml:space="preserve">Karibele Batista Teixeira </t>
  </si>
  <si>
    <t xml:space="preserve">002406/2025 </t>
  </si>
  <si>
    <t xml:space="preserve">Antônio Alves de Oliveira </t>
  </si>
  <si>
    <t xml:space="preserve">000859/2025 </t>
  </si>
  <si>
    <t xml:space="preserve">CÂMARA MUNICIPAL DE SERRINHA DOS PINTOS </t>
  </si>
  <si>
    <t xml:space="preserve">GILCILENE DE SOUZA LEMOS </t>
  </si>
  <si>
    <t xml:space="preserve">002619/2025 </t>
  </si>
  <si>
    <t xml:space="preserve">PREFEITURA MUNICIPAL DE TANGARÁ</t>
  </si>
  <si>
    <t xml:space="preserve">Antônio Custódio Freire </t>
  </si>
  <si>
    <t xml:space="preserve">001498/2025 </t>
  </si>
  <si>
    <t xml:space="preserve">Ministério da Saúde </t>
  </si>
  <si>
    <t xml:space="preserve">OZIEL FERNANDES DOS SANTOS </t>
  </si>
  <si>
    <t xml:space="preserve">003045/2025 </t>
  </si>
  <si>
    <t xml:space="preserve">ROSALBA CIARLINI ROSADO </t>
  </si>
  <si>
    <t xml:space="preserve">002729/2025 </t>
  </si>
  <si>
    <t xml:space="preserve">FRANCISCO BRUNO FERREIRA DA COSTA </t>
  </si>
  <si>
    <t xml:space="preserve">003037/2025 </t>
  </si>
  <si>
    <t xml:space="preserve">MARCOS ANTÔNIO CABRAL </t>
  </si>
  <si>
    <t xml:space="preserve">002819/2025 </t>
  </si>
  <si>
    <t xml:space="preserve">SECRETARIA DE ESTADO DA TRIBUTAÇÃO </t>
  </si>
  <si>
    <t xml:space="preserve">CARLOS ALBERTO JÁCOME DE AQUINO </t>
  </si>
  <si>
    <t xml:space="preserve">002740/2025 </t>
  </si>
  <si>
    <t xml:space="preserve">Prefeitura Municipal de Areia Branca </t>
  </si>
  <si>
    <t xml:space="preserve">Francisco José de Souza Neto </t>
  </si>
  <si>
    <t xml:space="preserve">003665/2025 </t>
  </si>
  <si>
    <t xml:space="preserve">Fabio Bezerra de Oliveira </t>
  </si>
  <si>
    <t xml:space="preserve">003051/2025 </t>
  </si>
  <si>
    <t xml:space="preserve">Câmara Municipal de Santa Maria </t>
  </si>
  <si>
    <t xml:space="preserve">HANDERSON SOARES DA CÂMARA </t>
  </si>
  <si>
    <t xml:space="preserve">002820/2025 </t>
  </si>
  <si>
    <t xml:space="preserve">SERGIO EDUARDO BEZERRA TEODORO </t>
  </si>
  <si>
    <t xml:space="preserve">002725/2025 </t>
  </si>
  <si>
    <t xml:space="preserve">RONALDO DE OLIVEIRA TEIXEIRA </t>
  </si>
  <si>
    <t xml:space="preserve">CLEMENCEAU ALVES </t>
  </si>
  <si>
    <t xml:space="preserve">002730/2025 </t>
  </si>
  <si>
    <t xml:space="preserve">MANOEL DOS SANTOS BERNARDO </t>
  </si>
  <si>
    <t xml:space="preserve">003034/2025 </t>
  </si>
  <si>
    <t xml:space="preserve">CÂMARA MUNICIPAL DE SÃO JOSÉ DE CAMPESTRE </t>
  </si>
  <si>
    <t xml:space="preserve">EDUARDO FERNANDES PEREIRA </t>
  </si>
  <si>
    <t xml:space="preserve">004883/2024 </t>
  </si>
  <si>
    <t xml:space="preserve">PREFEITURA MUNICIPAL DE PATU </t>
  </si>
  <si>
    <t xml:space="preserve">RIVELINO CÂMARA </t>
  </si>
  <si>
    <t xml:space="preserve">002022/2024 </t>
  </si>
  <si>
    <t xml:space="preserve">004878/2024 </t>
  </si>
  <si>
    <t xml:space="preserve">Câmara Municipal de Pedro Avelino </t>
  </si>
  <si>
    <t xml:space="preserve">Brunno Érico Teodoro Ferreira </t>
  </si>
  <si>
    <t xml:space="preserve">003668/2025 </t>
  </si>
  <si>
    <t xml:space="preserve">Câmara Municipal de Pedra Preta </t>
  </si>
  <si>
    <t xml:space="preserve">BARTOLOMEU FELIPE DOS SANTOS </t>
  </si>
  <si>
    <t xml:space="preserve">003044/2025 </t>
  </si>
  <si>
    <t xml:space="preserve">Prefeitura Municipal de Taipu </t>
  </si>
  <si>
    <t xml:space="preserve">Ariosvaldo Bandeira Junior </t>
  </si>
  <si>
    <t xml:space="preserve">002606/2024 </t>
  </si>
  <si>
    <t xml:space="preserve">CÂMARA MUNICIPAL DE TIBAU</t>
  </si>
  <si>
    <t xml:space="preserve">Juscielzo Rodrigues Rebouças </t>
  </si>
  <si>
    <t xml:space="preserve">004912/2024 </t>
  </si>
  <si>
    <t xml:space="preserve">AFRÂNIO REIS CAVALCANTE </t>
  </si>
  <si>
    <t xml:space="preserve">003678/2025 </t>
  </si>
  <si>
    <t xml:space="preserve">Prefeitura Municipal de São Gonçalo do Amarante </t>
  </si>
  <si>
    <t xml:space="preserve">JAIME CALADO PEREIRA DOS SANTOS </t>
  </si>
  <si>
    <t xml:space="preserve">001434/2023 </t>
  </si>
  <si>
    <t xml:space="preserve">Prefeitura Municipal de triunfo Potiguar </t>
  </si>
  <si>
    <t xml:space="preserve">Antônio Carlos Peixoto Nunes </t>
  </si>
  <si>
    <t xml:space="preserve">003667/2025 </t>
  </si>
  <si>
    <t xml:space="preserve">Instituto Federal do Rio Grande do Norte </t>
  </si>
  <si>
    <t xml:space="preserve">23421.001215.2026-30 </t>
  </si>
  <si>
    <t xml:space="preserve">GETÚLIO MARQUES FERREIRA </t>
  </si>
  <si>
    <t xml:space="preserve">004906/2024 </t>
  </si>
  <si>
    <t xml:space="preserve">003679/2025 </t>
  </si>
  <si>
    <t xml:space="preserve">José Borges Segundo </t>
  </si>
  <si>
    <t xml:space="preserve">TOTAL</t>
  </si>
  <si>
    <t xml:space="preserve">TOTAL DE NOTIFICAÇÕES</t>
  </si>
  <si>
    <t xml:space="preserve">Aqui não inclui Nereu</t>
  </si>
  <si>
    <t xml:space="preserve">RESPOSTAS RECEBIDAS</t>
  </si>
  <si>
    <t xml:space="preserve">DESCONTOS IMPLEMENTADOS</t>
  </si>
  <si>
    <t xml:space="preserve">TRANS. FRAP COMPROVADA</t>
  </si>
  <si>
    <t xml:space="preserve">PAGAMENTO NO SITE</t>
  </si>
  <si>
    <t xml:space="preserve">SEM RESPOSTA/RETORNO</t>
  </si>
  <si>
    <t xml:space="preserve">LEGENDA DE CORES</t>
  </si>
  <si>
    <t xml:space="preserve">Ver observações</t>
  </si>
  <si>
    <t xml:space="preserve">Suspenso por Decisão Judicial</t>
  </si>
  <si>
    <t xml:space="preserve">Desconto em folha em diferentes órgãos ou de diferentes responsáveis no mesmo processo</t>
  </si>
  <si>
    <t xml:space="preserve">LOCALIZAÇÃO</t>
  </si>
  <si>
    <t xml:space="preserve">Nº DE PARCELAS</t>
  </si>
  <si>
    <t xml:space="preserve">CADASTRADO</t>
  </si>
  <si>
    <t xml:space="preserve">FINALIZADO</t>
  </si>
  <si>
    <t xml:space="preserve">VALOR TOTAL</t>
  </si>
  <si>
    <t xml:space="preserve">TRANSF. FRAP</t>
  </si>
  <si>
    <t xml:space="preserve">CCD       </t>
  </si>
  <si>
    <t xml:space="preserve">ARQUI     </t>
  </si>
  <si>
    <t xml:space="preserve">PREFEITURA MUNICIPAL DE PILÕES </t>
  </si>
  <si>
    <t xml:space="preserve">000407/2025 </t>
  </si>
  <si>
    <t xml:space="preserve">PREFEITURA MUNICIPAL DE LAJES</t>
  </si>
  <si>
    <t xml:space="preserve">GCGEO     </t>
  </si>
  <si>
    <t xml:space="preserve">Prefeitura Municipal de Tenente Ananias </t>
  </si>
  <si>
    <t xml:space="preserve">Câmara Municipal de Serrinha dos Pintos </t>
  </si>
  <si>
    <t xml:space="preserve">Prefeitura Municipal de Triunfo Potiguar </t>
  </si>
  <si>
    <t xml:space="preserve">00410096.000677/2025-24</t>
  </si>
  <si>
    <t xml:space="preserve">Prefeitura Municipal de Pedra Preta </t>
  </si>
  <si>
    <t xml:space="preserve">ITEP/RN</t>
  </si>
  <si>
    <t xml:space="preserve">Câmara Municipal de Frutuoso Gomes </t>
  </si>
  <si>
    <t xml:space="preserve">DE_MANDA  </t>
  </si>
  <si>
    <t xml:space="preserve">Gabinete Civil do Governador/RN </t>
  </si>
  <si>
    <t xml:space="preserve">GCAED     </t>
  </si>
  <si>
    <t xml:space="preserve">Prefeitura Municipal de Afonso Bezerra </t>
  </si>
  <si>
    <t xml:space="preserve">GCPOT     </t>
  </si>
  <si>
    <t xml:space="preserve">DE_EXP    </t>
  </si>
  <si>
    <t xml:space="preserve">Prefeitura Municipal de Serra de São Bento </t>
  </si>
  <si>
    <t xml:space="preserve">PREFEITURA MUNICIPAL DE GUAMARÉ </t>
  </si>
  <si>
    <t xml:space="preserve">Nulidade da certidão de trânsito em julgado. Cancelamento do desconto em folha.</t>
  </si>
  <si>
    <t xml:space="preserve">PREFEITURA MUNICIPAL DE CAMPO REDONDO </t>
  </si>
  <si>
    <t xml:space="preserve">CONJU_NCMN</t>
  </si>
  <si>
    <t xml:space="preserve">PROC_EXE  </t>
  </si>
  <si>
    <t xml:space="preserve">Aposentou-se</t>
  </si>
  <si>
    <t xml:space="preserve">SEEC/RN / IPERN</t>
  </si>
  <si>
    <t xml:space="preserve">GAMAR     </t>
  </si>
  <si>
    <t xml:space="preserve">Câmara Municipal de Pendências/RN </t>
  </si>
  <si>
    <t xml:space="preserve">Prefeitura Municipal de São João do Sabugi </t>
  </si>
  <si>
    <t xml:space="preserve">Ministério da Previdência Social </t>
  </si>
  <si>
    <t xml:space="preserve">SETIC     </t>
  </si>
  <si>
    <t xml:space="preserve">não informado</t>
  </si>
  <si>
    <t xml:space="preserve">Prefeitura Municipal de Paraú </t>
  </si>
  <si>
    <t xml:space="preserve">Prefeitura Municipal de Extremoz / INSTITUTO DE PREVIDÊNCIA DOS SERVIDORES PÚBLICOS MUNICIPAIS DE EXTREMOZ – EXTREMOZPREV </t>
  </si>
  <si>
    <t xml:space="preserve">Última parcela  - Finalizado</t>
  </si>
  <si>
    <t xml:space="preserve">PROCESSO SEI</t>
  </si>
  <si>
    <t xml:space="preserve">012970/2017</t>
  </si>
  <si>
    <t xml:space="preserve">Maria das Graças Fernandes Costa da Motta</t>
  </si>
  <si>
    <t xml:space="preserve">701107/2012</t>
  </si>
  <si>
    <t xml:space="preserve">Josiano Ribeiro Bilro da Silva</t>
  </si>
  <si>
    <t xml:space="preserve">015786/2016</t>
  </si>
  <si>
    <t xml:space="preserve">José Júlio Fernandes Neto</t>
  </si>
  <si>
    <t xml:space="preserve">021694/2016</t>
  </si>
  <si>
    <t xml:space="preserve">700985/2012</t>
  </si>
  <si>
    <t xml:space="preserve">Gabinete Civil do Governador</t>
  </si>
  <si>
    <t xml:space="preserve">00110013.000360/2018-06</t>
  </si>
  <si>
    <t xml:space="preserve">005303/2017 </t>
  </si>
  <si>
    <t xml:space="preserve">Wanira de Holanda Brasil </t>
  </si>
  <si>
    <t xml:space="preserve">005352/2017 </t>
  </si>
  <si>
    <t xml:space="preserve">Maria da Guia Dantas Araújo </t>
  </si>
  <si>
    <t xml:space="preserve">021661/2016 </t>
  </si>
  <si>
    <t xml:space="preserve">00110013.007447/2019-87</t>
  </si>
  <si>
    <t xml:space="preserve">Tertúlio Alves da Silva </t>
  </si>
  <si>
    <t xml:space="preserve">021690/2016 </t>
  </si>
  <si>
    <t xml:space="preserve">00110013.007756/2019-57</t>
  </si>
  <si>
    <t xml:space="preserve">JAILTON JOSÉ XAVIER DE LIMA </t>
  </si>
  <si>
    <t xml:space="preserve">número processo</t>
  </si>
  <si>
    <t xml:space="preserve">ano processo</t>
  </si>
  <si>
    <t xml:space="preserve">VALOR IMPLEMENTADO</t>
  </si>
  <si>
    <t xml:space="preserve">DATA IMPLEMENTAÇÃO</t>
  </si>
  <si>
    <t xml:space="preserve">Colunas1</t>
  </si>
  <si>
    <t xml:space="preserve">Processo SEI</t>
  </si>
  <si>
    <t xml:space="preserve">Relator</t>
  </si>
  <si>
    <t xml:space="preserve">OBS</t>
  </si>
  <si>
    <t xml:space="preserve">Desconto verificado no SIAIDP</t>
  </si>
  <si>
    <t xml:space="preserve">Desconto verificado no FRAP</t>
  </si>
  <si>
    <t xml:space="preserve">0110012.003143/2024-18</t>
  </si>
  <si>
    <t xml:space="preserve">CARLOS THOMPSON COSTA FERNANDES</t>
  </si>
  <si>
    <t xml:space="preserve">somada à multa do processo 3269/2023 para implementação</t>
  </si>
  <si>
    <t xml:space="preserve">OK</t>
  </si>
  <si>
    <t xml:space="preserve">OK (Documento 202.501.310.027.938 do extrato de 02/2025 da conta 700000-6)</t>
  </si>
  <si>
    <t xml:space="preserve">00110012.003144/2024-62</t>
  </si>
  <si>
    <t xml:space="preserve">somada à multa do processo 3661/2022 para implementação</t>
  </si>
  <si>
    <t xml:space="preserve">0110012.003135/2024-71</t>
  </si>
  <si>
    <t xml:space="preserve">somada à multa do processo 1418/2023 para implementação</t>
  </si>
  <si>
    <t xml:space="preserve">OK (Documento 202.502.280.064.161 do extrato de 03/2025 da conta 700000-6)</t>
  </si>
  <si>
    <t xml:space="preserve">110012.003138/2024-13</t>
  </si>
  <si>
    <t xml:space="preserve">somada à multa do processo 1391/2023 para implementação</t>
  </si>
  <si>
    <t xml:space="preserve">0110012.003140/2024-84</t>
  </si>
  <si>
    <t xml:space="preserve">somada à multa do processo 99/2023 para implementação</t>
  </si>
  <si>
    <t xml:space="preserve">OK (Documento 202.504.010.028.737 do extrato de 04/2025 da conta 700000-6)</t>
  </si>
  <si>
    <t xml:space="preserve">110012.003139/2024-50</t>
  </si>
  <si>
    <t xml:space="preserve">somada à multa do processo 3666/2022 para implementação</t>
  </si>
  <si>
    <t xml:space="preserve">110012.003137/2024-61</t>
  </si>
  <si>
    <t xml:space="preserve">somada à multa do processo 1420/2023 para implementação</t>
  </si>
  <si>
    <t xml:space="preserve">OK (Documento 202.505.060.035.364 do extrato de 05/2025 da conta 700000-6)</t>
  </si>
  <si>
    <t xml:space="preserve">0110012.003141/2024-29</t>
  </si>
  <si>
    <t xml:space="preserve">somada à multa do processo 1417/2023 para implementação</t>
  </si>
  <si>
    <t xml:space="preserve">0110012.003142/2024-73</t>
  </si>
  <si>
    <t xml:space="preserve">somada à multa do processo 106/2023 para implementação</t>
  </si>
  <si>
    <t xml:space="preserve">OK (Documento 202.506.040.011.394 do extrato de 06/2025 da conta 700000-6)</t>
  </si>
  <si>
    <t xml:space="preserve">110012.003261/2024-26</t>
  </si>
  <si>
    <t xml:space="preserve">somada à multa do processo 100/2023 para implementação</t>
  </si>
  <si>
    <t xml:space="preserve">00110012.003300/2024-95</t>
  </si>
  <si>
    <t xml:space="preserve">somada à multa do processo 1423/2023 para implementação</t>
  </si>
  <si>
    <t xml:space="preserve">110012.003277/2024-39</t>
  </si>
  <si>
    <t xml:space="preserve">somada à multa do processo 1421/2023 para implementação</t>
  </si>
  <si>
    <t xml:space="preserve">110012.003280/2024-52</t>
  </si>
  <si>
    <t xml:space="preserve">somada à multa do processo 1446/2023 para implementação</t>
  </si>
  <si>
    <t xml:space="preserve">0110012.003278/2024-83</t>
  </si>
  <si>
    <t xml:space="preserve">somada à multa do processo 3077/2022 para implementação</t>
  </si>
  <si>
    <t xml:space="preserve">110012.003287/2024-74</t>
  </si>
  <si>
    <t xml:space="preserve">somada à multa do processo 3412/2024 para implementação</t>
  </si>
  <si>
    <t xml:space="preserve">110012.003301/2024-30</t>
  </si>
  <si>
    <t xml:space="preserve">somada à multa do processo 98/2023 para implementação</t>
  </si>
  <si>
    <t xml:space="preserve">0110012.003268/2024-48</t>
  </si>
  <si>
    <t xml:space="preserve">somada à multa do processo 131/2023 para implementação</t>
  </si>
  <si>
    <t xml:space="preserve">00110012.003267/2024-01</t>
  </si>
  <si>
    <t xml:space="preserve">somada à multa do processo 117/2023 para implementação</t>
  </si>
  <si>
    <t xml:space="preserve">0110012.003266/2024-59</t>
  </si>
  <si>
    <t xml:space="preserve">somada à multa do processo 120/2023 para implementação</t>
  </si>
  <si>
    <t xml:space="preserve">00110012.003265/2024-12</t>
  </si>
  <si>
    <t xml:space="preserve">somada à multa do processo 118/2023 para implementação</t>
  </si>
  <si>
    <t xml:space="preserve">110012.003263/2024-15</t>
  </si>
  <si>
    <t xml:space="preserve">somada à multa do processo 130/2023 para implementação</t>
  </si>
  <si>
    <t xml:space="preserve">00110012.003264/2024-60</t>
  </si>
  <si>
    <t xml:space="preserve">ANTONIO GILBERTO DE OLIVEIRA JALES</t>
  </si>
  <si>
    <t xml:space="preserve">somada à multa do processo 107/2023 para implementação</t>
  </si>
  <si>
    <t xml:space="preserve">110012.003259/2024-57</t>
  </si>
  <si>
    <t xml:space="preserve">somada à multa do processo 416/2024 para implementação</t>
  </si>
  <si>
    <t xml:space="preserve">110012.003260/2024-81</t>
  </si>
  <si>
    <t xml:space="preserve">somada à multa do processo 103/2023 para implementação</t>
  </si>
  <si>
    <t xml:space="preserve">110012.003257/2024-68</t>
  </si>
  <si>
    <t xml:space="preserve">somada à multa do processo 116/2023 para implementação</t>
  </si>
  <si>
    <t xml:space="preserve">00110012.003256/2024-13</t>
  </si>
  <si>
    <t xml:space="preserve">somada à multa do processo 92/2023 para implementação</t>
  </si>
  <si>
    <t xml:space="preserve">00110012.003276/2024-94</t>
  </si>
  <si>
    <t xml:space="preserve">somada à multa do processo 105/2023 para implementação</t>
  </si>
  <si>
    <t xml:space="preserve">00110012.003295/2024-11</t>
  </si>
  <si>
    <t xml:space="preserve">somada à multa do processo 93/2023 para implementação</t>
  </si>
  <si>
    <t xml:space="preserve">00110012.003279/2024-28</t>
  </si>
  <si>
    <t xml:space="preserve">somada à multa do processo 3079/2022 para implementação</t>
  </si>
  <si>
    <t xml:space="preserve">00110012.003281/2024-05</t>
  </si>
  <si>
    <t xml:space="preserve">somada à multa do processo 3065/2022 para implementação</t>
  </si>
  <si>
    <t xml:space="preserve">00110012.003282/2024-41</t>
  </si>
  <si>
    <t xml:space="preserve">somada à multa do processo 3648/2022 para implementação</t>
  </si>
  <si>
    <t xml:space="preserve">00110012.003283/2024-96</t>
  </si>
  <si>
    <t xml:space="preserve">somada à multa do processo 3080/2022 para implementação</t>
  </si>
  <si>
    <t xml:space="preserve">00110012.003284/2024-31</t>
  </si>
  <si>
    <t xml:space="preserve">somada à multa do processo 96/2023 para implementação</t>
  </si>
  <si>
    <t xml:space="preserve">00110012.003285/2024-85</t>
  </si>
  <si>
    <t xml:space="preserve">somada à multa do processo 94/2023 para implementação</t>
  </si>
  <si>
    <t xml:space="preserve">00110012.003288/2024-19</t>
  </si>
  <si>
    <t xml:space="preserve">somada à multa do processo 155/2023 para implementação</t>
  </si>
  <si>
    <t xml:space="preserve">00110012.003289/2024-63</t>
  </si>
  <si>
    <t xml:space="preserve">somada à multa do processo 146/2023 para implementação</t>
  </si>
  <si>
    <t xml:space="preserve">00110012.003291/2024-32</t>
  </si>
  <si>
    <t xml:space="preserve">somada à multa do processo 156/2023 para implementação</t>
  </si>
  <si>
    <t xml:space="preserve">°00110012.003290/2024-98</t>
  </si>
  <si>
    <t xml:space="preserve">somada à multa do processo 3066/2022 para implementação</t>
  </si>
  <si>
    <t xml:space="preserve">00110012.003292/2024-87</t>
  </si>
  <si>
    <t xml:space="preserve">somada à multa do processo 3069/2022 para implementação</t>
  </si>
  <si>
    <t xml:space="preserve">110012.003293/2024-21</t>
  </si>
  <si>
    <t xml:space="preserve">somada à multa do processo 3067/2022 para implementação</t>
  </si>
  <si>
    <t xml:space="preserve">00110012.003294/2024-76</t>
  </si>
  <si>
    <t xml:space="preserve">somada à multa do processo 3074/2022 para implementação</t>
  </si>
  <si>
    <t xml:space="preserve">0110012.003275/2024-40</t>
  </si>
  <si>
    <t xml:space="preserve">somada à multa do processo 3073/2022 para implementação</t>
  </si>
  <si>
    <t xml:space="preserve">ANA PAULA DE OLIVEIRA GOMES</t>
  </si>
  <si>
    <t xml:space="preserve">ainda não teve retorno da notificação</t>
  </si>
  <si>
    <t xml:space="preserve">Multa percentual + ressarcimento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</si>
</sst>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0000000000"/>
    <numFmt numFmtId="166" formatCode="d/m/yyyy"/>
    <numFmt numFmtId="167" formatCode="&quot;R$ &quot;#,##0.00;[RED]&quot;-R$ &quot;#,##0.00"/>
    <numFmt numFmtId="168" formatCode="dd/mm/yy"/>
    <numFmt numFmtId="169" formatCode="_-&quot;R$ &quot;* #,##0.00_-;&quot;-R$ &quot;* #,##0.00_-;_-&quot;R$ &quot;* \-??_-;_-@_-"/>
    <numFmt numFmtId="170" formatCode="0%"/>
    <numFmt numFmtId="171" formatCode="mmm/yy"/>
    <numFmt numFmtId="172" formatCode="[$-416]mmmm\-yy;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15"/>
        <bgColor rgb="FFC6D9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theme="7" tint="0.5997"/>
        <bgColor rgb="FFD9D9D9"/>
      </patternFill>
    </fill>
    <fill>
      <patternFill patternType="solid">
        <fgColor theme="3" tint="0.7998"/>
        <bgColor rgb="FFD9D9D9"/>
      </patternFill>
    </fill>
    <fill>
      <patternFill patternType="solid">
        <fgColor rgb="FF92D050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8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8" borderId="1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1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3" borderId="1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1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CCC1DA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1" displayName="Tabela1" ref="A1:H45" headerRowCount="1" totalsRowCount="0" totalsRowShown="0">
  <autoFilter ref="A1:H45"/>
  <tableColumns count="8">
    <tableColumn id="1" name="número processo"/>
    <tableColumn id="2" name="ano processo"/>
    <tableColumn id="3" name="VALOR IMPLEMENTADO"/>
    <tableColumn id="4" name="DATA IMPLEMENTAÇÃO"/>
    <tableColumn id="5" name="Colunas1"/>
    <tableColumn id="6" name="Processo SEI"/>
    <tableColumn id="7" name="Relator"/>
    <tableColumn id="8" name="OBS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25" activePane="bottomLeft" state="frozen"/>
      <selection pane="topLeft" activeCell="A1" activeCellId="0" sqref="A1"/>
      <selection pane="bottomLeft" activeCell="C236" activeCellId="0" sqref="C23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6.29"/>
    <col collapsed="false" customWidth="true" hidden="false" outlineLevel="0" max="3" min="3" style="2" width="16.14"/>
    <col collapsed="false" customWidth="true" hidden="false" outlineLevel="0" max="5" min="4" style="2" width="18.86"/>
    <col collapsed="false" customWidth="true" hidden="false" outlineLevel="0" max="6" min="6" style="2" width="15.71"/>
    <col collapsed="false" customWidth="true" hidden="false" outlineLevel="0" max="7" min="7" style="2" width="17.29"/>
    <col collapsed="false" customWidth="true" hidden="false" outlineLevel="0" max="8" min="8" style="2" width="18.14"/>
    <col collapsed="false" customWidth="true" hidden="false" outlineLevel="0" max="9" min="9" style="2" width="12.86"/>
    <col collapsed="false" customWidth="true" hidden="false" outlineLevel="0" max="10" min="10" style="2" width="22.15"/>
    <col collapsed="false" customWidth="true" hidden="false" outlineLevel="0" max="11" min="11" style="2" width="19.42"/>
    <col collapsed="false" customWidth="true" hidden="false" outlineLevel="0" max="12" min="12" style="2" width="21.84"/>
    <col collapsed="false" customWidth="true" hidden="false" outlineLevel="0" max="13" min="13" style="2" width="29.42"/>
    <col collapsed="false" customWidth="true" hidden="false" outlineLevel="0" max="14" min="14" style="2" width="24.29"/>
    <col collapsed="false" customWidth="true" hidden="false" outlineLevel="0" max="17" min="15" style="2" width="15.71"/>
    <col collapsed="false" customWidth="true" hidden="false" outlineLevel="0" max="18" min="18" style="2" width="23.86"/>
    <col collapsed="false" customWidth="true" hidden="false" outlineLevel="0" max="19" min="19" style="2" width="15.71"/>
    <col collapsed="false" customWidth="true" hidden="false" outlineLevel="0" max="20" min="20" style="3" width="17.42"/>
    <col collapsed="false" customWidth="true" hidden="false" outlineLevel="0" max="21" min="21" style="4" width="54"/>
    <col collapsed="false" customWidth="true" hidden="false" outlineLevel="0" max="22" min="22" style="5" width="15.14"/>
    <col collapsed="false" customWidth="true" hidden="false" outlineLevel="0" max="23" min="23" style="4" width="81.14"/>
  </cols>
  <sheetData>
    <row r="1" customFormat="false" ht="26.2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customFormat="false" ht="15" hidden="false" customHeight="false" outlineLevel="0" collapsed="false">
      <c r="A2" s="9" t="s">
        <v>23</v>
      </c>
      <c r="B2" s="9"/>
      <c r="C2" s="10" t="n">
        <v>45727</v>
      </c>
      <c r="D2" s="10" t="n">
        <v>45728</v>
      </c>
      <c r="E2" s="10" t="n">
        <v>45740</v>
      </c>
      <c r="F2" s="11"/>
      <c r="G2" s="10" t="n">
        <v>45824</v>
      </c>
      <c r="H2" s="10" t="n">
        <v>45838</v>
      </c>
      <c r="I2" s="11"/>
      <c r="J2" s="11"/>
      <c r="K2" s="11"/>
      <c r="L2" s="11" t="s">
        <v>24</v>
      </c>
      <c r="M2" s="11" t="s">
        <v>25</v>
      </c>
      <c r="N2" s="11"/>
      <c r="O2" s="11"/>
      <c r="P2" s="11"/>
      <c r="Q2" s="11"/>
      <c r="R2" s="11"/>
      <c r="S2" s="11"/>
      <c r="T2" s="12" t="n">
        <v>19659.84</v>
      </c>
      <c r="U2" s="13" t="s">
        <v>26</v>
      </c>
      <c r="V2" s="14" t="n">
        <v>818758430</v>
      </c>
      <c r="W2" s="13"/>
    </row>
    <row r="3" customFormat="false" ht="15" hidden="false" customHeight="false" outlineLevel="0" collapsed="false">
      <c r="A3" s="9" t="s">
        <v>27</v>
      </c>
      <c r="B3" s="9"/>
      <c r="C3" s="10" t="n">
        <v>45784</v>
      </c>
      <c r="D3" s="10" t="n">
        <v>45790</v>
      </c>
      <c r="E3" s="10" t="n">
        <v>45792</v>
      </c>
      <c r="F3" s="10" t="n">
        <v>45804</v>
      </c>
      <c r="G3" s="11"/>
      <c r="H3" s="11"/>
      <c r="I3" s="11"/>
      <c r="J3" s="11"/>
      <c r="K3" s="11"/>
      <c r="L3" s="11" t="s">
        <v>28</v>
      </c>
      <c r="M3" s="15" t="s">
        <v>29</v>
      </c>
      <c r="N3" s="11"/>
      <c r="O3" s="11"/>
      <c r="P3" s="11"/>
      <c r="Q3" s="11"/>
      <c r="R3" s="11"/>
      <c r="S3" s="11"/>
      <c r="T3" s="12" t="n">
        <v>3000</v>
      </c>
      <c r="U3" s="13" t="s">
        <v>30</v>
      </c>
      <c r="V3" s="14" t="n">
        <v>15726916468</v>
      </c>
      <c r="W3" s="13" t="s">
        <v>31</v>
      </c>
    </row>
    <row r="4" customFormat="false" ht="15" hidden="false" customHeight="false" outlineLevel="0" collapsed="false">
      <c r="A4" s="9" t="s">
        <v>32</v>
      </c>
      <c r="B4" s="9" t="s">
        <v>33</v>
      </c>
      <c r="C4" s="10" t="n">
        <v>45784</v>
      </c>
      <c r="D4" s="10" t="n">
        <v>45790</v>
      </c>
      <c r="E4" s="10" t="n">
        <v>45803</v>
      </c>
      <c r="F4" s="10" t="n">
        <v>45839</v>
      </c>
      <c r="G4" s="16" t="n">
        <v>46035</v>
      </c>
      <c r="H4" s="16" t="n">
        <v>46073</v>
      </c>
      <c r="I4" s="11" t="s">
        <v>34</v>
      </c>
      <c r="J4" s="11"/>
      <c r="K4" s="11"/>
      <c r="L4" s="11" t="s">
        <v>28</v>
      </c>
      <c r="M4" s="11" t="s">
        <v>35</v>
      </c>
      <c r="N4" s="11"/>
      <c r="O4" s="11"/>
      <c r="P4" s="10"/>
      <c r="Q4" s="11"/>
      <c r="R4" s="11"/>
      <c r="S4" s="11"/>
      <c r="T4" s="12" t="n">
        <v>11589.27</v>
      </c>
      <c r="U4" s="13" t="s">
        <v>36</v>
      </c>
      <c r="V4" s="14" t="n">
        <v>7227091457</v>
      </c>
      <c r="W4" s="13" t="s">
        <v>37</v>
      </c>
    </row>
    <row r="5" customFormat="false" ht="15" hidden="false" customHeight="false" outlineLevel="0" collapsed="false">
      <c r="A5" s="9" t="s">
        <v>38</v>
      </c>
      <c r="B5" s="9"/>
      <c r="C5" s="10" t="n">
        <v>45622</v>
      </c>
      <c r="D5" s="10" t="n">
        <v>45625</v>
      </c>
      <c r="E5" s="10" t="n">
        <v>45635</v>
      </c>
      <c r="F5" s="11"/>
      <c r="G5" s="16" t="n">
        <v>45918</v>
      </c>
      <c r="H5" s="16" t="n">
        <v>45938</v>
      </c>
      <c r="I5" s="11"/>
      <c r="J5" s="11"/>
      <c r="K5" s="11"/>
      <c r="L5" s="11" t="s">
        <v>28</v>
      </c>
      <c r="M5" s="15" t="s">
        <v>39</v>
      </c>
      <c r="N5" s="11"/>
      <c r="O5" s="11"/>
      <c r="P5" s="10" t="n">
        <v>45965</v>
      </c>
      <c r="Q5" s="11" t="s">
        <v>40</v>
      </c>
      <c r="R5" s="11"/>
      <c r="S5" s="11"/>
      <c r="T5" s="12" t="n">
        <v>5000</v>
      </c>
      <c r="U5" s="13" t="s">
        <v>41</v>
      </c>
      <c r="V5" s="14" t="n">
        <v>96965223472</v>
      </c>
      <c r="W5" s="13" t="s">
        <v>37</v>
      </c>
    </row>
    <row r="6" customFormat="false" ht="15" hidden="false" customHeight="false" outlineLevel="0" collapsed="false">
      <c r="A6" s="9" t="s">
        <v>42</v>
      </c>
      <c r="B6" s="9" t="s">
        <v>33</v>
      </c>
      <c r="C6" s="10" t="n">
        <v>45684</v>
      </c>
      <c r="D6" s="10" t="n">
        <v>45694</v>
      </c>
      <c r="E6" s="10" t="n">
        <v>45714</v>
      </c>
      <c r="F6" s="10"/>
      <c r="G6" s="16" t="n">
        <v>45911</v>
      </c>
      <c r="H6" s="16" t="n">
        <v>45932</v>
      </c>
      <c r="I6" s="11" t="s">
        <v>34</v>
      </c>
      <c r="J6" s="11"/>
      <c r="K6" s="11"/>
      <c r="L6" s="11" t="s">
        <v>28</v>
      </c>
      <c r="M6" s="15" t="s">
        <v>43</v>
      </c>
      <c r="N6" s="11"/>
      <c r="O6" s="11"/>
      <c r="P6" s="11"/>
      <c r="Q6" s="11"/>
      <c r="R6" s="11"/>
      <c r="S6" s="11"/>
      <c r="T6" s="12" t="n">
        <v>3000</v>
      </c>
      <c r="U6" s="13" t="s">
        <v>44</v>
      </c>
      <c r="V6" s="14" t="n">
        <v>1179288440</v>
      </c>
      <c r="W6" s="13"/>
    </row>
    <row r="7" customFormat="false" ht="15" hidden="false" customHeight="false" outlineLevel="0" collapsed="false">
      <c r="A7" s="9" t="s">
        <v>45</v>
      </c>
      <c r="B7" s="9" t="s">
        <v>33</v>
      </c>
      <c r="C7" s="10" t="n">
        <v>45625</v>
      </c>
      <c r="D7" s="10" t="n">
        <v>45635</v>
      </c>
      <c r="E7" s="10" t="n">
        <v>45652</v>
      </c>
      <c r="F7" s="10" t="n">
        <v>45693</v>
      </c>
      <c r="G7" s="10"/>
      <c r="H7" s="10"/>
      <c r="I7" s="10" t="s">
        <v>34</v>
      </c>
      <c r="J7" s="10"/>
      <c r="K7" s="10"/>
      <c r="L7" s="10" t="s">
        <v>28</v>
      </c>
      <c r="M7" s="17" t="s">
        <v>46</v>
      </c>
      <c r="N7" s="10"/>
      <c r="O7" s="10" t="n">
        <v>45684</v>
      </c>
      <c r="P7" s="10"/>
      <c r="Q7" s="10"/>
      <c r="R7" s="10"/>
      <c r="S7" s="10"/>
      <c r="T7" s="12" t="n">
        <v>5000</v>
      </c>
      <c r="U7" s="13" t="s">
        <v>47</v>
      </c>
      <c r="V7" s="14" t="n">
        <v>8984449423</v>
      </c>
      <c r="W7" s="13" t="s">
        <v>48</v>
      </c>
    </row>
    <row r="8" customFormat="false" ht="15" hidden="false" customHeight="false" outlineLevel="0" collapsed="false">
      <c r="A8" s="9" t="s">
        <v>49</v>
      </c>
      <c r="B8" s="9"/>
      <c r="C8" s="10" t="n">
        <v>45636</v>
      </c>
      <c r="D8" s="10"/>
      <c r="E8" s="10"/>
      <c r="F8" s="11"/>
      <c r="G8" s="11"/>
      <c r="H8" s="11"/>
      <c r="I8" s="11"/>
      <c r="J8" s="11"/>
      <c r="K8" s="11"/>
      <c r="L8" s="11" t="s">
        <v>28</v>
      </c>
      <c r="M8" s="15" t="s">
        <v>50</v>
      </c>
      <c r="N8" s="11"/>
      <c r="O8" s="11"/>
      <c r="P8" s="10" t="n">
        <v>45656</v>
      </c>
      <c r="Q8" s="11" t="s">
        <v>51</v>
      </c>
      <c r="R8" s="11"/>
      <c r="S8" s="11"/>
      <c r="T8" s="12" t="n">
        <v>5000</v>
      </c>
      <c r="U8" s="13" t="s">
        <v>52</v>
      </c>
      <c r="V8" s="14" t="n">
        <v>33677395453</v>
      </c>
      <c r="W8" s="13"/>
    </row>
    <row r="9" customFormat="false" ht="15" hidden="false" customHeight="false" outlineLevel="0" collapsed="false">
      <c r="A9" s="9" t="s">
        <v>53</v>
      </c>
      <c r="B9" s="9"/>
      <c r="C9" s="10" t="n">
        <v>45671</v>
      </c>
      <c r="D9" s="10" t="n">
        <v>45694</v>
      </c>
      <c r="E9" s="10" t="n">
        <v>45707</v>
      </c>
      <c r="F9" s="10"/>
      <c r="G9" s="10" t="n">
        <v>45810</v>
      </c>
      <c r="H9" s="10" t="n">
        <v>45825</v>
      </c>
      <c r="I9" s="11" t="s">
        <v>34</v>
      </c>
      <c r="J9" s="18" t="n">
        <v>6592.99</v>
      </c>
      <c r="K9" s="11" t="s">
        <v>34</v>
      </c>
      <c r="L9" s="11" t="s">
        <v>28</v>
      </c>
      <c r="M9" s="15" t="s">
        <v>54</v>
      </c>
      <c r="N9" s="11"/>
      <c r="O9" s="10" t="n">
        <v>45838</v>
      </c>
      <c r="P9" s="11"/>
      <c r="Q9" s="11" t="s">
        <v>55</v>
      </c>
      <c r="R9" s="11" t="s">
        <v>56</v>
      </c>
      <c r="S9" s="11"/>
      <c r="T9" s="12" t="n">
        <v>5897.95</v>
      </c>
      <c r="U9" s="13" t="s">
        <v>57</v>
      </c>
      <c r="V9" s="14" t="n">
        <v>15055825472</v>
      </c>
      <c r="W9" s="13"/>
    </row>
    <row r="10" customFormat="false" ht="15" hidden="false" customHeight="false" outlineLevel="0" collapsed="false">
      <c r="A10" s="9" t="s">
        <v>58</v>
      </c>
      <c r="B10" s="9" t="s">
        <v>33</v>
      </c>
      <c r="C10" s="10" t="n">
        <v>45727</v>
      </c>
      <c r="D10" s="10" t="n">
        <v>45727</v>
      </c>
      <c r="E10" s="10" t="n">
        <v>45748</v>
      </c>
      <c r="F10" s="16" t="n">
        <v>46063</v>
      </c>
      <c r="G10" s="11"/>
      <c r="H10" s="11"/>
      <c r="I10" s="11" t="s">
        <v>34</v>
      </c>
      <c r="J10" s="11"/>
      <c r="K10" s="11"/>
      <c r="L10" s="11" t="s">
        <v>28</v>
      </c>
      <c r="M10" s="15" t="s">
        <v>59</v>
      </c>
      <c r="N10" s="11"/>
      <c r="O10" s="11"/>
      <c r="P10" s="11"/>
      <c r="Q10" s="11"/>
      <c r="R10" s="11"/>
      <c r="S10" s="11"/>
      <c r="T10" s="12" t="n">
        <v>5000</v>
      </c>
      <c r="U10" s="13" t="s">
        <v>60</v>
      </c>
      <c r="V10" s="14" t="n">
        <v>789686406</v>
      </c>
      <c r="W10" s="13"/>
    </row>
    <row r="11" customFormat="false" ht="15" hidden="false" customHeight="false" outlineLevel="0" collapsed="false">
      <c r="A11" s="9" t="s">
        <v>61</v>
      </c>
      <c r="B11" s="9"/>
      <c r="C11" s="10" t="n">
        <v>45727</v>
      </c>
      <c r="D11" s="10" t="n">
        <v>45728</v>
      </c>
      <c r="E11" s="10" t="n">
        <v>45740</v>
      </c>
      <c r="F11" s="11"/>
      <c r="G11" s="11"/>
      <c r="H11" s="11"/>
      <c r="I11" s="11"/>
      <c r="J11" s="11"/>
      <c r="K11" s="11"/>
      <c r="L11" s="11" t="s">
        <v>24</v>
      </c>
      <c r="M11" s="11" t="s">
        <v>25</v>
      </c>
      <c r="N11" s="11"/>
      <c r="O11" s="11"/>
      <c r="P11" s="11"/>
      <c r="Q11" s="11"/>
      <c r="R11" s="11"/>
      <c r="S11" s="11"/>
      <c r="T11" s="12" t="n">
        <v>5632.35</v>
      </c>
      <c r="U11" s="13" t="s">
        <v>62</v>
      </c>
      <c r="V11" s="14" t="n">
        <v>39356418420</v>
      </c>
      <c r="W11" s="13"/>
    </row>
    <row r="12" customFormat="false" ht="15" hidden="false" customHeight="false" outlineLevel="0" collapsed="false">
      <c r="A12" s="19" t="s">
        <v>63</v>
      </c>
      <c r="B12" s="19"/>
      <c r="C12" s="20" t="n">
        <v>45615</v>
      </c>
      <c r="D12" s="20" t="n">
        <v>45625</v>
      </c>
      <c r="E12" s="20" t="n">
        <v>45637</v>
      </c>
      <c r="F12" s="21"/>
      <c r="G12" s="20" t="n">
        <v>45792</v>
      </c>
      <c r="H12" s="20" t="n">
        <v>45813</v>
      </c>
      <c r="I12" s="21"/>
      <c r="J12" s="21"/>
      <c r="K12" s="21"/>
      <c r="L12" s="21" t="s">
        <v>28</v>
      </c>
      <c r="M12" s="22" t="s">
        <v>64</v>
      </c>
      <c r="N12" s="21"/>
      <c r="O12" s="21"/>
      <c r="P12" s="21"/>
      <c r="Q12" s="21"/>
      <c r="R12" s="21"/>
      <c r="S12" s="21"/>
      <c r="T12" s="23" t="n">
        <v>3000</v>
      </c>
      <c r="U12" s="24" t="s">
        <v>65</v>
      </c>
      <c r="V12" s="25" t="n">
        <v>48941344468</v>
      </c>
      <c r="W12" s="24" t="s">
        <v>66</v>
      </c>
    </row>
    <row r="13" customFormat="false" ht="15" hidden="false" customHeight="false" outlineLevel="0" collapsed="false">
      <c r="A13" s="9" t="s">
        <v>67</v>
      </c>
      <c r="B13" s="9"/>
      <c r="C13" s="10" t="n">
        <v>45614</v>
      </c>
      <c r="D13" s="10" t="n">
        <v>45622</v>
      </c>
      <c r="E13" s="10" t="n">
        <v>45632</v>
      </c>
      <c r="F13" s="11"/>
      <c r="G13" s="11"/>
      <c r="H13" s="11"/>
      <c r="I13" s="11"/>
      <c r="J13" s="11"/>
      <c r="K13" s="11"/>
      <c r="L13" s="11" t="s">
        <v>28</v>
      </c>
      <c r="M13" s="11" t="s">
        <v>68</v>
      </c>
      <c r="N13" s="11"/>
      <c r="O13" s="11"/>
      <c r="P13" s="11"/>
      <c r="Q13" s="11"/>
      <c r="R13" s="11"/>
      <c r="S13" s="11" t="s">
        <v>33</v>
      </c>
      <c r="T13" s="12" t="n">
        <v>9829.92</v>
      </c>
      <c r="U13" s="13" t="s">
        <v>69</v>
      </c>
      <c r="V13" s="14" t="n">
        <v>12204650463</v>
      </c>
      <c r="W13" s="13" t="s">
        <v>70</v>
      </c>
    </row>
    <row r="14" customFormat="false" ht="15" hidden="false" customHeight="false" outlineLevel="0" collapsed="false">
      <c r="A14" s="9" t="s">
        <v>71</v>
      </c>
      <c r="B14" s="9"/>
      <c r="C14" s="10" t="n">
        <v>45784</v>
      </c>
      <c r="D14" s="10" t="n">
        <v>45790</v>
      </c>
      <c r="E14" s="10" t="n">
        <v>45800</v>
      </c>
      <c r="F14" s="10"/>
      <c r="G14" s="11"/>
      <c r="H14" s="11"/>
      <c r="I14" s="11"/>
      <c r="J14" s="11"/>
      <c r="K14" s="11"/>
      <c r="L14" s="11" t="s">
        <v>28</v>
      </c>
      <c r="M14" s="15" t="s">
        <v>72</v>
      </c>
      <c r="N14" s="11"/>
      <c r="O14" s="11"/>
      <c r="P14" s="10" t="n">
        <v>45810</v>
      </c>
      <c r="Q14" s="11" t="s">
        <v>40</v>
      </c>
      <c r="R14" s="11"/>
      <c r="S14" s="11"/>
      <c r="T14" s="12"/>
      <c r="U14" s="13" t="s">
        <v>73</v>
      </c>
      <c r="V14" s="14" t="n">
        <v>925018422</v>
      </c>
      <c r="W14" s="13"/>
    </row>
    <row r="15" customFormat="false" ht="15" hidden="false" customHeight="false" outlineLevel="0" collapsed="false">
      <c r="A15" s="9" t="s">
        <v>74</v>
      </c>
      <c r="B15" s="9"/>
      <c r="C15" s="10" t="n">
        <v>45727</v>
      </c>
      <c r="D15" s="10" t="n">
        <v>45728</v>
      </c>
      <c r="E15" s="10" t="n">
        <v>45748</v>
      </c>
      <c r="F15" s="11"/>
      <c r="G15" s="11"/>
      <c r="H15" s="11"/>
      <c r="I15" s="11"/>
      <c r="J15" s="11"/>
      <c r="K15" s="11"/>
      <c r="L15" s="11" t="s">
        <v>28</v>
      </c>
      <c r="M15" s="15" t="s">
        <v>75</v>
      </c>
      <c r="N15" s="11"/>
      <c r="O15" s="11"/>
      <c r="P15" s="11"/>
      <c r="Q15" s="11"/>
      <c r="R15" s="11"/>
      <c r="S15" s="11"/>
      <c r="T15" s="12" t="n">
        <v>2400</v>
      </c>
      <c r="U15" s="13" t="s">
        <v>76</v>
      </c>
      <c r="V15" s="14" t="n">
        <v>6822161430</v>
      </c>
      <c r="W15" s="13"/>
    </row>
    <row r="16" customFormat="false" ht="15" hidden="false" customHeight="false" outlineLevel="0" collapsed="false">
      <c r="A16" s="26" t="s">
        <v>77</v>
      </c>
      <c r="B16" s="26"/>
      <c r="C16" s="10" t="n">
        <v>45622</v>
      </c>
      <c r="D16" s="10" t="n">
        <v>45625</v>
      </c>
      <c r="E16" s="10" t="n">
        <v>45638</v>
      </c>
      <c r="F16" s="11"/>
      <c r="G16" s="16" t="n">
        <v>45918</v>
      </c>
      <c r="H16" s="16" t="n">
        <v>45937</v>
      </c>
      <c r="I16" s="11"/>
      <c r="J16" s="11"/>
      <c r="K16" s="11"/>
      <c r="L16" s="11" t="s">
        <v>28</v>
      </c>
      <c r="M16" s="15" t="s">
        <v>78</v>
      </c>
      <c r="N16" s="11"/>
      <c r="O16" s="11"/>
      <c r="P16" s="11"/>
      <c r="Q16" s="11" t="s">
        <v>51</v>
      </c>
      <c r="R16" s="11"/>
      <c r="S16" s="11"/>
      <c r="T16" s="12" t="n">
        <v>3300</v>
      </c>
      <c r="U16" s="13" t="s">
        <v>79</v>
      </c>
      <c r="V16" s="14" t="n">
        <v>76168883487</v>
      </c>
      <c r="W16" s="13" t="s">
        <v>70</v>
      </c>
    </row>
    <row r="17" customFormat="false" ht="15" hidden="false" customHeight="false" outlineLevel="0" collapsed="false">
      <c r="A17" s="27" t="s">
        <v>80</v>
      </c>
      <c r="B17" s="9"/>
      <c r="C17" s="10" t="n">
        <v>45784</v>
      </c>
      <c r="D17" s="10" t="n">
        <v>45790</v>
      </c>
      <c r="E17" s="10" t="n">
        <v>45806</v>
      </c>
      <c r="F17" s="10"/>
      <c r="G17" s="11"/>
      <c r="H17" s="11"/>
      <c r="I17" s="11"/>
      <c r="J17" s="11"/>
      <c r="K17" s="11"/>
      <c r="L17" s="11" t="s">
        <v>28</v>
      </c>
      <c r="M17" s="15" t="s">
        <v>81</v>
      </c>
      <c r="N17" s="11"/>
      <c r="O17" s="11"/>
      <c r="P17" s="11"/>
      <c r="Q17" s="11"/>
      <c r="R17" s="11"/>
      <c r="S17" s="11"/>
      <c r="T17" s="12" t="n">
        <v>32170.56</v>
      </c>
      <c r="U17" s="13" t="s">
        <v>82</v>
      </c>
      <c r="V17" s="14" t="n">
        <v>76816591453</v>
      </c>
      <c r="W17" s="13"/>
    </row>
    <row r="18" customFormat="false" ht="15" hidden="false" customHeight="false" outlineLevel="0" collapsed="false">
      <c r="A18" s="9" t="s">
        <v>83</v>
      </c>
      <c r="B18" s="9"/>
      <c r="C18" s="10" t="n">
        <v>45784</v>
      </c>
      <c r="D18" s="10" t="n">
        <v>45790</v>
      </c>
      <c r="E18" s="10" t="n">
        <v>45806</v>
      </c>
      <c r="F18" s="10"/>
      <c r="G18" s="11"/>
      <c r="H18" s="11"/>
      <c r="I18" s="11"/>
      <c r="J18" s="11"/>
      <c r="K18" s="11"/>
      <c r="L18" s="11" t="s">
        <v>28</v>
      </c>
      <c r="M18" s="15" t="s">
        <v>84</v>
      </c>
      <c r="N18" s="11"/>
      <c r="O18" s="11"/>
      <c r="P18" s="11"/>
      <c r="Q18" s="11"/>
      <c r="R18" s="11"/>
      <c r="S18" s="11"/>
      <c r="T18" s="12" t="n">
        <v>100</v>
      </c>
      <c r="U18" s="13" t="s">
        <v>82</v>
      </c>
      <c r="V18" s="14" t="n">
        <v>76816591453</v>
      </c>
      <c r="W18" s="13"/>
    </row>
    <row r="19" s="28" customFormat="true" ht="15" hidden="false" customHeight="false" outlineLevel="0" collapsed="false">
      <c r="A19" s="9" t="s">
        <v>85</v>
      </c>
      <c r="B19" s="9" t="s">
        <v>33</v>
      </c>
      <c r="C19" s="10" t="n">
        <v>45615</v>
      </c>
      <c r="D19" s="10" t="n">
        <v>45622</v>
      </c>
      <c r="E19" s="10" t="n">
        <v>45632</v>
      </c>
      <c r="F19" s="10"/>
      <c r="G19" s="10" t="n">
        <v>45799</v>
      </c>
      <c r="H19" s="10" t="n">
        <v>45820</v>
      </c>
      <c r="I19" s="11" t="s">
        <v>34</v>
      </c>
      <c r="J19" s="11"/>
      <c r="K19" s="11"/>
      <c r="L19" s="11" t="s">
        <v>28</v>
      </c>
      <c r="M19" s="15" t="s">
        <v>86</v>
      </c>
      <c r="N19" s="11"/>
      <c r="O19" s="11"/>
      <c r="P19" s="11"/>
      <c r="Q19" s="11"/>
      <c r="R19" s="11"/>
      <c r="S19" s="11"/>
      <c r="T19" s="12" t="n">
        <v>17181.46</v>
      </c>
      <c r="U19" s="13" t="s">
        <v>87</v>
      </c>
      <c r="V19" s="14" t="n">
        <v>76217663449</v>
      </c>
      <c r="W19" s="13"/>
    </row>
    <row r="20" customFormat="false" ht="15" hidden="false" customHeight="false" outlineLevel="0" collapsed="false">
      <c r="A20" s="9" t="s">
        <v>88</v>
      </c>
      <c r="B20" s="9"/>
      <c r="C20" s="10" t="n">
        <v>45849</v>
      </c>
      <c r="D20" s="10" t="n">
        <v>45856</v>
      </c>
      <c r="E20" s="10" t="n">
        <v>45873</v>
      </c>
      <c r="F20" s="10"/>
      <c r="G20" s="11"/>
      <c r="H20" s="11"/>
      <c r="I20" s="11"/>
      <c r="J20" s="11"/>
      <c r="K20" s="11"/>
      <c r="L20" s="11" t="s">
        <v>28</v>
      </c>
      <c r="M20" s="15" t="s">
        <v>89</v>
      </c>
      <c r="N20" s="11"/>
      <c r="O20" s="11"/>
      <c r="P20" s="10"/>
      <c r="Q20" s="11"/>
      <c r="R20" s="11"/>
      <c r="S20" s="11"/>
      <c r="T20" s="12" t="n">
        <v>30000</v>
      </c>
      <c r="U20" s="13" t="s">
        <v>90</v>
      </c>
      <c r="V20" s="14" t="n">
        <v>964198495</v>
      </c>
      <c r="W20" s="13"/>
      <c r="X20" s="28"/>
    </row>
    <row r="21" customFormat="false" ht="15" hidden="false" customHeight="false" outlineLevel="0" collapsed="false">
      <c r="A21" s="9" t="s">
        <v>91</v>
      </c>
      <c r="B21" s="9" t="s">
        <v>33</v>
      </c>
      <c r="C21" s="10" t="n">
        <v>45846</v>
      </c>
      <c r="D21" s="10" t="n">
        <v>45856</v>
      </c>
      <c r="E21" s="10" t="n">
        <v>45867</v>
      </c>
      <c r="F21" s="10" t="n">
        <v>45908</v>
      </c>
      <c r="G21" s="11"/>
      <c r="H21" s="11"/>
      <c r="I21" s="11" t="s">
        <v>34</v>
      </c>
      <c r="J21" s="11"/>
      <c r="K21" s="11"/>
      <c r="L21" s="11" t="s">
        <v>24</v>
      </c>
      <c r="M21" s="11" t="s">
        <v>92</v>
      </c>
      <c r="N21" s="11"/>
      <c r="O21" s="11"/>
      <c r="P21" s="11"/>
      <c r="Q21" s="11"/>
      <c r="R21" s="11"/>
      <c r="S21" s="11"/>
      <c r="T21" s="12" t="n">
        <v>1100</v>
      </c>
      <c r="U21" s="13" t="s">
        <v>93</v>
      </c>
      <c r="V21" s="14" t="n">
        <v>6975973423</v>
      </c>
      <c r="W21" s="13"/>
    </row>
    <row r="22" customFormat="false" ht="15" hidden="false" customHeight="false" outlineLevel="0" collapsed="false">
      <c r="A22" s="9" t="s">
        <v>94</v>
      </c>
      <c r="B22" s="9" t="s">
        <v>33</v>
      </c>
      <c r="C22" s="10" t="n">
        <v>45804</v>
      </c>
      <c r="D22" s="10" t="n">
        <v>45810</v>
      </c>
      <c r="E22" s="10" t="n">
        <v>45821</v>
      </c>
      <c r="F22" s="10" t="n">
        <v>45868</v>
      </c>
      <c r="G22" s="11"/>
      <c r="H22" s="11"/>
      <c r="I22" s="11" t="s">
        <v>34</v>
      </c>
      <c r="J22" s="11"/>
      <c r="K22" s="11"/>
      <c r="L22" s="11" t="s">
        <v>28</v>
      </c>
      <c r="M22" s="15" t="s">
        <v>95</v>
      </c>
      <c r="N22" s="11"/>
      <c r="O22" s="11" t="s">
        <v>34</v>
      </c>
      <c r="P22" s="11"/>
      <c r="Q22" s="11" t="s">
        <v>51</v>
      </c>
      <c r="R22" s="11" t="s">
        <v>96</v>
      </c>
      <c r="S22" s="11"/>
      <c r="T22" s="12" t="n">
        <v>1100</v>
      </c>
      <c r="U22" s="13" t="s">
        <v>93</v>
      </c>
      <c r="V22" s="14" t="n">
        <v>6975973423</v>
      </c>
      <c r="W22" s="13"/>
    </row>
    <row r="23" customFormat="false" ht="15" hidden="false" customHeight="false" outlineLevel="0" collapsed="false">
      <c r="A23" s="9" t="s">
        <v>97</v>
      </c>
      <c r="B23" s="9" t="s">
        <v>33</v>
      </c>
      <c r="C23" s="10" t="n">
        <v>45846</v>
      </c>
      <c r="D23" s="10" t="n">
        <v>45856</v>
      </c>
      <c r="E23" s="10" t="n">
        <v>45867</v>
      </c>
      <c r="F23" s="10" t="n">
        <v>45943</v>
      </c>
      <c r="G23" s="11"/>
      <c r="H23" s="11"/>
      <c r="I23" s="11" t="s">
        <v>34</v>
      </c>
      <c r="J23" s="11"/>
      <c r="K23" s="11"/>
      <c r="L23" s="11" t="s">
        <v>24</v>
      </c>
      <c r="M23" s="11" t="s">
        <v>92</v>
      </c>
      <c r="N23" s="11"/>
      <c r="O23" s="11" t="s">
        <v>34</v>
      </c>
      <c r="P23" s="11"/>
      <c r="Q23" s="11"/>
      <c r="R23" s="11"/>
      <c r="S23" s="11"/>
      <c r="T23" s="12" t="n">
        <v>1100</v>
      </c>
      <c r="U23" s="13" t="s">
        <v>93</v>
      </c>
      <c r="V23" s="14" t="n">
        <v>6975973423</v>
      </c>
      <c r="W23" s="13" t="s">
        <v>98</v>
      </c>
    </row>
    <row r="24" customFormat="false" ht="15" hidden="false" customHeight="false" outlineLevel="0" collapsed="false">
      <c r="A24" s="9" t="s">
        <v>99</v>
      </c>
      <c r="B24" s="9"/>
      <c r="C24" s="10" t="n">
        <v>45821</v>
      </c>
      <c r="D24" s="10" t="n">
        <v>45826</v>
      </c>
      <c r="E24" s="10" t="n">
        <v>45854</v>
      </c>
      <c r="F24" s="10"/>
      <c r="G24" s="11"/>
      <c r="H24" s="11"/>
      <c r="I24" s="11"/>
      <c r="J24" s="11"/>
      <c r="K24" s="11"/>
      <c r="L24" s="11" t="s">
        <v>28</v>
      </c>
      <c r="M24" s="11" t="s">
        <v>100</v>
      </c>
      <c r="N24" s="11"/>
      <c r="O24" s="11"/>
      <c r="P24" s="11"/>
      <c r="Q24" s="11"/>
      <c r="R24" s="11"/>
      <c r="S24" s="11"/>
      <c r="T24" s="12" t="n">
        <v>1100</v>
      </c>
      <c r="U24" s="13" t="s">
        <v>101</v>
      </c>
      <c r="V24" s="14" t="n">
        <v>5262023436</v>
      </c>
      <c r="W24" s="13"/>
    </row>
    <row r="25" customFormat="false" ht="15" hidden="false" customHeight="false" outlineLevel="0" collapsed="false">
      <c r="A25" s="9" t="s">
        <v>102</v>
      </c>
      <c r="B25" s="9"/>
      <c r="C25" s="10" t="n">
        <v>45608</v>
      </c>
      <c r="D25" s="10" t="n">
        <v>45622</v>
      </c>
      <c r="E25" s="10" t="n">
        <v>45629</v>
      </c>
      <c r="F25" s="11"/>
      <c r="G25" s="10" t="n">
        <v>45814</v>
      </c>
      <c r="H25" s="10" t="n">
        <v>45826</v>
      </c>
      <c r="I25" s="11"/>
      <c r="J25" s="11"/>
      <c r="K25" s="11"/>
      <c r="L25" s="11" t="s">
        <v>28</v>
      </c>
      <c r="M25" s="15" t="s">
        <v>103</v>
      </c>
      <c r="N25" s="11"/>
      <c r="O25" s="11"/>
      <c r="P25" s="11"/>
      <c r="Q25" s="11"/>
      <c r="R25" s="11"/>
      <c r="S25" s="11"/>
      <c r="T25" s="12" t="n">
        <v>10636.98</v>
      </c>
      <c r="U25" s="13" t="s">
        <v>104</v>
      </c>
      <c r="V25" s="14" t="n">
        <v>2499945427</v>
      </c>
      <c r="W25" s="13" t="s">
        <v>105</v>
      </c>
    </row>
    <row r="26" customFormat="false" ht="15" hidden="false" customHeight="false" outlineLevel="0" collapsed="false">
      <c r="A26" s="9" t="s">
        <v>106</v>
      </c>
      <c r="B26" s="9"/>
      <c r="C26" s="10" t="n">
        <v>45622</v>
      </c>
      <c r="D26" s="10" t="n">
        <v>45625</v>
      </c>
      <c r="E26" s="10" t="n">
        <v>45631</v>
      </c>
      <c r="F26" s="11"/>
      <c r="G26" s="11"/>
      <c r="H26" s="11"/>
      <c r="I26" s="11"/>
      <c r="J26" s="11"/>
      <c r="K26" s="11"/>
      <c r="L26" s="11" t="s">
        <v>28</v>
      </c>
      <c r="M26" s="15" t="s">
        <v>107</v>
      </c>
      <c r="N26" s="11"/>
      <c r="O26" s="11"/>
      <c r="P26" s="11"/>
      <c r="Q26" s="11"/>
      <c r="R26" s="11"/>
      <c r="S26" s="11"/>
      <c r="T26" s="12" t="n">
        <v>29600</v>
      </c>
      <c r="U26" s="13" t="s">
        <v>104</v>
      </c>
      <c r="V26" s="14" t="n">
        <v>2499945427</v>
      </c>
      <c r="W26" s="13" t="s">
        <v>70</v>
      </c>
    </row>
    <row r="27" customFormat="false" ht="15" hidden="false" customHeight="false" outlineLevel="0" collapsed="false">
      <c r="A27" s="27" t="s">
        <v>108</v>
      </c>
      <c r="B27" s="9" t="s">
        <v>33</v>
      </c>
      <c r="C27" s="10" t="n">
        <v>45821</v>
      </c>
      <c r="D27" s="10" t="n">
        <v>45826</v>
      </c>
      <c r="E27" s="10" t="n">
        <v>45835</v>
      </c>
      <c r="F27" s="10"/>
      <c r="G27" s="11"/>
      <c r="H27" s="11"/>
      <c r="I27" s="11" t="s">
        <v>34</v>
      </c>
      <c r="J27" s="11"/>
      <c r="K27" s="11"/>
      <c r="L27" s="11" t="s">
        <v>24</v>
      </c>
      <c r="M27" s="11" t="s">
        <v>109</v>
      </c>
      <c r="N27" s="11"/>
      <c r="O27" s="11"/>
      <c r="P27" s="11"/>
      <c r="Q27" s="11"/>
      <c r="R27" s="11"/>
      <c r="S27" s="11"/>
      <c r="T27" s="12" t="n">
        <v>30200</v>
      </c>
      <c r="U27" s="13" t="s">
        <v>110</v>
      </c>
      <c r="V27" s="14" t="n">
        <v>26162180468</v>
      </c>
      <c r="W27" s="13"/>
    </row>
    <row r="28" customFormat="false" ht="15" hidden="false" customHeight="false" outlineLevel="0" collapsed="false">
      <c r="A28" s="9" t="s">
        <v>111</v>
      </c>
      <c r="B28" s="9"/>
      <c r="C28" s="10" t="n">
        <v>45729</v>
      </c>
      <c r="D28" s="10" t="n">
        <v>45736</v>
      </c>
      <c r="E28" s="10" t="n">
        <v>45748</v>
      </c>
      <c r="F28" s="11"/>
      <c r="G28" s="11"/>
      <c r="H28" s="11"/>
      <c r="I28" s="11"/>
      <c r="J28" s="11"/>
      <c r="K28" s="11"/>
      <c r="L28" s="11" t="s">
        <v>28</v>
      </c>
      <c r="M28" s="15" t="s">
        <v>112</v>
      </c>
      <c r="N28" s="11"/>
      <c r="O28" s="11"/>
      <c r="P28" s="10" t="n">
        <v>45785</v>
      </c>
      <c r="Q28" s="11" t="s">
        <v>51</v>
      </c>
      <c r="R28" s="11"/>
      <c r="S28" s="11"/>
      <c r="T28" s="12" t="n">
        <v>2800</v>
      </c>
      <c r="U28" s="13" t="s">
        <v>113</v>
      </c>
      <c r="V28" s="14" t="n">
        <v>8951902498</v>
      </c>
      <c r="W28" s="13"/>
    </row>
    <row r="29" customFormat="false" ht="15" hidden="false" customHeight="false" outlineLevel="0" collapsed="false">
      <c r="A29" s="9" t="s">
        <v>114</v>
      </c>
      <c r="B29" s="9"/>
      <c r="C29" s="10" t="n">
        <v>45727</v>
      </c>
      <c r="D29" s="10" t="n">
        <v>45728</v>
      </c>
      <c r="E29" s="10" t="n">
        <v>45742</v>
      </c>
      <c r="F29" s="10" t="n">
        <v>45811</v>
      </c>
      <c r="G29" s="11"/>
      <c r="H29" s="11"/>
      <c r="I29" s="11"/>
      <c r="J29" s="11"/>
      <c r="K29" s="11"/>
      <c r="L29" s="11" t="s">
        <v>28</v>
      </c>
      <c r="M29" s="15" t="s">
        <v>115</v>
      </c>
      <c r="N29" s="11"/>
      <c r="O29" s="11"/>
      <c r="P29" s="10" t="n">
        <v>45810</v>
      </c>
      <c r="Q29" s="11" t="s">
        <v>40</v>
      </c>
      <c r="R29" s="11"/>
      <c r="S29" s="11"/>
      <c r="T29" s="12" t="n">
        <v>4200</v>
      </c>
      <c r="U29" s="13" t="s">
        <v>116</v>
      </c>
      <c r="V29" s="14" t="n">
        <v>5351429438</v>
      </c>
      <c r="W29" s="13"/>
    </row>
    <row r="30" customFormat="false" ht="15" hidden="false" customHeight="false" outlineLevel="0" collapsed="false">
      <c r="A30" s="9" t="s">
        <v>117</v>
      </c>
      <c r="B30" s="9" t="s">
        <v>33</v>
      </c>
      <c r="C30" s="10" t="n">
        <v>45638</v>
      </c>
      <c r="D30" s="10" t="n">
        <v>45687</v>
      </c>
      <c r="E30" s="10" t="n">
        <v>45693</v>
      </c>
      <c r="F30" s="10" t="n">
        <v>45743</v>
      </c>
      <c r="G30" s="11"/>
      <c r="H30" s="11"/>
      <c r="I30" s="11" t="s">
        <v>34</v>
      </c>
      <c r="J30" s="11"/>
      <c r="K30" s="11"/>
      <c r="L30" s="11" t="s">
        <v>28</v>
      </c>
      <c r="M30" s="15" t="s">
        <v>72</v>
      </c>
      <c r="N30" s="11"/>
      <c r="O30" s="11"/>
      <c r="P30" s="11"/>
      <c r="Q30" s="11"/>
      <c r="R30" s="11"/>
      <c r="S30" s="11"/>
      <c r="T30" s="12" t="n">
        <v>5000</v>
      </c>
      <c r="U30" s="13" t="s">
        <v>118</v>
      </c>
      <c r="V30" s="14" t="n">
        <v>39242730491</v>
      </c>
      <c r="W30" s="13"/>
    </row>
    <row r="31" customFormat="false" ht="15" hidden="false" customHeight="false" outlineLevel="0" collapsed="false">
      <c r="A31" s="9" t="s">
        <v>119</v>
      </c>
      <c r="B31" s="9"/>
      <c r="C31" s="10" t="n">
        <v>45848</v>
      </c>
      <c r="D31" s="10" t="n">
        <v>45854</v>
      </c>
      <c r="E31" s="10" t="n">
        <v>45866</v>
      </c>
      <c r="F31" s="10" t="n">
        <v>45874</v>
      </c>
      <c r="G31" s="11"/>
      <c r="H31" s="11"/>
      <c r="I31" s="11"/>
      <c r="J31" s="11"/>
      <c r="K31" s="11"/>
      <c r="L31" s="11" t="s">
        <v>28</v>
      </c>
      <c r="M31" s="15" t="s">
        <v>120</v>
      </c>
      <c r="N31" s="11"/>
      <c r="O31" s="11"/>
      <c r="P31" s="10" t="n">
        <v>45874</v>
      </c>
      <c r="Q31" s="11" t="s">
        <v>40</v>
      </c>
      <c r="R31" s="11"/>
      <c r="S31" s="11"/>
      <c r="T31" s="12" t="n">
        <v>3000</v>
      </c>
      <c r="U31" s="13" t="s">
        <v>121</v>
      </c>
      <c r="V31" s="14" t="n">
        <v>67287140497</v>
      </c>
      <c r="W31" s="13"/>
    </row>
    <row r="32" customFormat="false" ht="15" hidden="false" customHeight="false" outlineLevel="0" collapsed="false">
      <c r="A32" s="9" t="s">
        <v>122</v>
      </c>
      <c r="B32" s="9" t="s">
        <v>33</v>
      </c>
      <c r="C32" s="10" t="n">
        <v>45727</v>
      </c>
      <c r="D32" s="10" t="n">
        <v>45728</v>
      </c>
      <c r="E32" s="10" t="n">
        <v>45748</v>
      </c>
      <c r="F32" s="11"/>
      <c r="G32" s="10" t="n">
        <v>45826</v>
      </c>
      <c r="H32" s="10" t="n">
        <v>45841</v>
      </c>
      <c r="I32" s="11" t="s">
        <v>34</v>
      </c>
      <c r="J32" s="11"/>
      <c r="K32" s="11"/>
      <c r="L32" s="11" t="s">
        <v>28</v>
      </c>
      <c r="M32" s="15" t="s">
        <v>123</v>
      </c>
      <c r="N32" s="11"/>
      <c r="O32" s="11"/>
      <c r="P32" s="11"/>
      <c r="Q32" s="11"/>
      <c r="R32" s="11"/>
      <c r="S32" s="11"/>
      <c r="T32" s="12" t="n">
        <v>15000</v>
      </c>
      <c r="U32" s="13" t="s">
        <v>124</v>
      </c>
      <c r="V32" s="14" t="n">
        <v>48161519404</v>
      </c>
      <c r="W32" s="13"/>
    </row>
    <row r="33" customFormat="false" ht="15" hidden="false" customHeight="false" outlineLevel="0" collapsed="false">
      <c r="A33" s="9" t="s">
        <v>125</v>
      </c>
      <c r="B33" s="9" t="s">
        <v>33</v>
      </c>
      <c r="C33" s="10" t="n">
        <v>45821</v>
      </c>
      <c r="D33" s="10" t="n">
        <v>45826</v>
      </c>
      <c r="E33" s="10" t="n">
        <v>45834</v>
      </c>
      <c r="F33" s="10" t="n">
        <v>45883</v>
      </c>
      <c r="G33" s="11"/>
      <c r="H33" s="11"/>
      <c r="I33" s="11" t="s">
        <v>34</v>
      </c>
      <c r="J33" s="11"/>
      <c r="K33" s="11"/>
      <c r="L33" s="11" t="s">
        <v>24</v>
      </c>
      <c r="M33" s="11" t="s">
        <v>126</v>
      </c>
      <c r="N33" s="11"/>
      <c r="O33" s="11"/>
      <c r="P33" s="11"/>
      <c r="Q33" s="11"/>
      <c r="R33" s="11"/>
      <c r="S33" s="11"/>
      <c r="T33" s="12" t="n">
        <v>6954.15</v>
      </c>
      <c r="U33" s="13" t="s">
        <v>127</v>
      </c>
      <c r="V33" s="14" t="n">
        <v>28922590459</v>
      </c>
      <c r="W33" s="13"/>
    </row>
    <row r="34" customFormat="false" ht="15" hidden="false" customHeight="false" outlineLevel="0" collapsed="false">
      <c r="A34" s="9" t="s">
        <v>128</v>
      </c>
      <c r="B34" s="9"/>
      <c r="C34" s="10" t="n">
        <v>45643</v>
      </c>
      <c r="D34" s="10" t="n">
        <v>45686</v>
      </c>
      <c r="E34" s="10" t="n">
        <v>45695</v>
      </c>
      <c r="F34" s="11"/>
      <c r="G34" s="11"/>
      <c r="H34" s="11"/>
      <c r="I34" s="11"/>
      <c r="J34" s="11"/>
      <c r="K34" s="11"/>
      <c r="L34" s="11" t="s">
        <v>24</v>
      </c>
      <c r="M34" s="11" t="s">
        <v>25</v>
      </c>
      <c r="N34" s="11"/>
      <c r="O34" s="11"/>
      <c r="P34" s="11"/>
      <c r="Q34" s="11"/>
      <c r="R34" s="11"/>
      <c r="S34" s="11"/>
      <c r="T34" s="12" t="n">
        <v>9000</v>
      </c>
      <c r="U34" s="13" t="s">
        <v>129</v>
      </c>
      <c r="V34" s="14" t="n">
        <v>8604614400</v>
      </c>
      <c r="W34" s="13" t="s">
        <v>130</v>
      </c>
    </row>
    <row r="35" customFormat="false" ht="15" hidden="false" customHeight="false" outlineLevel="0" collapsed="false">
      <c r="A35" s="9" t="s">
        <v>131</v>
      </c>
      <c r="B35" s="9"/>
      <c r="C35" s="10" t="n">
        <v>45608</v>
      </c>
      <c r="D35" s="10" t="n">
        <v>45614</v>
      </c>
      <c r="E35" s="10" t="n">
        <v>45629</v>
      </c>
      <c r="F35" s="11"/>
      <c r="G35" s="11"/>
      <c r="H35" s="11"/>
      <c r="I35" s="11"/>
      <c r="J35" s="11"/>
      <c r="K35" s="11"/>
      <c r="L35" s="11" t="s">
        <v>28</v>
      </c>
      <c r="M35" s="15" t="s">
        <v>132</v>
      </c>
      <c r="N35" s="11"/>
      <c r="O35" s="11"/>
      <c r="P35" s="10" t="n">
        <v>45810</v>
      </c>
      <c r="Q35" s="11" t="s">
        <v>40</v>
      </c>
      <c r="R35" s="11"/>
      <c r="S35" s="11"/>
      <c r="T35" s="12" t="n">
        <v>2700</v>
      </c>
      <c r="U35" s="13" t="s">
        <v>133</v>
      </c>
      <c r="V35" s="14" t="n">
        <v>5855108490</v>
      </c>
      <c r="W35" s="13"/>
    </row>
    <row r="36" customFormat="false" ht="15" hidden="false" customHeight="false" outlineLevel="0" collapsed="false">
      <c r="A36" s="9" t="s">
        <v>134</v>
      </c>
      <c r="B36" s="9"/>
      <c r="C36" s="10" t="n">
        <v>45729</v>
      </c>
      <c r="D36" s="10" t="n">
        <v>45736</v>
      </c>
      <c r="E36" s="10" t="n">
        <v>45747</v>
      </c>
      <c r="F36" s="11"/>
      <c r="G36" s="10" t="n">
        <v>45826</v>
      </c>
      <c r="H36" s="11"/>
      <c r="I36" s="11"/>
      <c r="J36" s="11"/>
      <c r="K36" s="11"/>
      <c r="L36" s="11" t="s">
        <v>28</v>
      </c>
      <c r="M36" s="15" t="s">
        <v>135</v>
      </c>
      <c r="N36" s="11"/>
      <c r="O36" s="11"/>
      <c r="P36" s="10" t="n">
        <v>45839</v>
      </c>
      <c r="Q36" s="11" t="s">
        <v>40</v>
      </c>
      <c r="R36" s="11"/>
      <c r="S36" s="11"/>
      <c r="T36" s="12" t="n">
        <v>5000</v>
      </c>
      <c r="U36" s="13" t="s">
        <v>136</v>
      </c>
      <c r="V36" s="14" t="n">
        <v>93755228491</v>
      </c>
      <c r="W36" s="13"/>
    </row>
    <row r="37" customFormat="false" ht="15" hidden="false" customHeight="false" outlineLevel="0" collapsed="false">
      <c r="A37" s="9" t="s">
        <v>137</v>
      </c>
      <c r="B37" s="9"/>
      <c r="C37" s="10" t="n">
        <v>45608</v>
      </c>
      <c r="D37" s="10" t="n">
        <v>45614</v>
      </c>
      <c r="E37" s="10" t="n">
        <v>45628</v>
      </c>
      <c r="F37" s="11"/>
      <c r="G37" s="10" t="n">
        <v>45810</v>
      </c>
      <c r="H37" s="10" t="n">
        <v>45820</v>
      </c>
      <c r="I37" s="11"/>
      <c r="J37" s="11"/>
      <c r="K37" s="11"/>
      <c r="L37" s="11" t="s">
        <v>28</v>
      </c>
      <c r="M37" s="15" t="s">
        <v>138</v>
      </c>
      <c r="N37" s="11"/>
      <c r="O37" s="11"/>
      <c r="P37" s="11"/>
      <c r="Q37" s="11"/>
      <c r="R37" s="11"/>
      <c r="S37" s="11"/>
      <c r="T37" s="12" t="n">
        <v>5000</v>
      </c>
      <c r="U37" s="13" t="s">
        <v>139</v>
      </c>
      <c r="V37" s="14" t="n">
        <v>2716115451</v>
      </c>
      <c r="W37" s="13"/>
    </row>
    <row r="38" s="28" customFormat="true" ht="15" hidden="false" customHeight="false" outlineLevel="0" collapsed="false">
      <c r="A38" s="9" t="s">
        <v>140</v>
      </c>
      <c r="B38" s="9"/>
      <c r="C38" s="10" t="n">
        <v>45821</v>
      </c>
      <c r="D38" s="10" t="n">
        <v>45826</v>
      </c>
      <c r="E38" s="10" t="n">
        <v>45852</v>
      </c>
      <c r="F38" s="10"/>
      <c r="G38" s="11"/>
      <c r="H38" s="11"/>
      <c r="I38" s="11"/>
      <c r="J38" s="11"/>
      <c r="K38" s="11"/>
      <c r="L38" s="11" t="s">
        <v>28</v>
      </c>
      <c r="M38" s="15" t="s">
        <v>141</v>
      </c>
      <c r="N38" s="11"/>
      <c r="O38" s="11"/>
      <c r="P38" s="10" t="n">
        <v>45854</v>
      </c>
      <c r="Q38" s="11" t="s">
        <v>40</v>
      </c>
      <c r="R38" s="11"/>
      <c r="S38" s="11"/>
      <c r="T38" s="12" t="n">
        <v>1000</v>
      </c>
      <c r="U38" s="13" t="s">
        <v>142</v>
      </c>
      <c r="V38" s="14" t="n">
        <v>1010779478</v>
      </c>
      <c r="W38" s="13"/>
    </row>
    <row r="39" customFormat="false" ht="15" hidden="false" customHeight="false" outlineLevel="0" collapsed="false">
      <c r="A39" s="9" t="s">
        <v>143</v>
      </c>
      <c r="B39" s="9"/>
      <c r="C39" s="10" t="n">
        <v>45846</v>
      </c>
      <c r="D39" s="10" t="n">
        <v>45854</v>
      </c>
      <c r="E39" s="10" t="n">
        <v>45876</v>
      </c>
      <c r="F39" s="10"/>
      <c r="G39" s="11"/>
      <c r="H39" s="11"/>
      <c r="I39" s="11"/>
      <c r="J39" s="11"/>
      <c r="K39" s="11"/>
      <c r="L39" s="11" t="s">
        <v>28</v>
      </c>
      <c r="M39" s="15" t="s">
        <v>144</v>
      </c>
      <c r="N39" s="11"/>
      <c r="O39" s="11"/>
      <c r="P39" s="11"/>
      <c r="Q39" s="11"/>
      <c r="R39" s="11"/>
      <c r="S39" s="11"/>
      <c r="T39" s="12" t="n">
        <v>10000</v>
      </c>
      <c r="U39" s="13" t="s">
        <v>145</v>
      </c>
      <c r="V39" s="14" t="n">
        <v>7726796499</v>
      </c>
      <c r="W39" s="13"/>
      <c r="X39" s="28"/>
    </row>
    <row r="40" customFormat="false" ht="15" hidden="false" customHeight="false" outlineLevel="0" collapsed="false">
      <c r="A40" s="9" t="s">
        <v>146</v>
      </c>
      <c r="B40" s="9"/>
      <c r="C40" s="10" t="n">
        <v>45728</v>
      </c>
      <c r="D40" s="10" t="n">
        <v>45730</v>
      </c>
      <c r="E40" s="10" t="n">
        <v>45748</v>
      </c>
      <c r="F40" s="10"/>
      <c r="G40" s="10" t="n">
        <v>45839</v>
      </c>
      <c r="H40" s="11"/>
      <c r="I40" s="11"/>
      <c r="J40" s="11"/>
      <c r="K40" s="11"/>
      <c r="L40" s="11" t="s">
        <v>28</v>
      </c>
      <c r="M40" s="15" t="s">
        <v>147</v>
      </c>
      <c r="N40" s="11"/>
      <c r="O40" s="11"/>
      <c r="P40" s="11"/>
      <c r="Q40" s="11"/>
      <c r="R40" s="11"/>
      <c r="S40" s="11"/>
      <c r="T40" s="12" t="n">
        <v>1100</v>
      </c>
      <c r="U40" s="13" t="s">
        <v>148</v>
      </c>
      <c r="V40" s="14" t="n">
        <v>90455088420</v>
      </c>
      <c r="W40" s="13"/>
    </row>
    <row r="41" customFormat="false" ht="15" hidden="false" customHeight="false" outlineLevel="0" collapsed="false">
      <c r="A41" s="9" t="s">
        <v>149</v>
      </c>
      <c r="B41" s="9" t="s">
        <v>33</v>
      </c>
      <c r="C41" s="10" t="n">
        <v>45728</v>
      </c>
      <c r="D41" s="10" t="n">
        <v>45730</v>
      </c>
      <c r="E41" s="10" t="n">
        <v>45741</v>
      </c>
      <c r="F41" s="10"/>
      <c r="G41" s="10" t="n">
        <v>45897</v>
      </c>
      <c r="H41" s="10" t="n">
        <v>45918</v>
      </c>
      <c r="I41" s="11" t="s">
        <v>34</v>
      </c>
      <c r="J41" s="11"/>
      <c r="K41" s="11"/>
      <c r="L41" s="11" t="s">
        <v>28</v>
      </c>
      <c r="M41" s="11" t="s">
        <v>150</v>
      </c>
      <c r="N41" s="11"/>
      <c r="O41" s="11"/>
      <c r="P41" s="11"/>
      <c r="Q41" s="11"/>
      <c r="R41" s="11"/>
      <c r="S41" s="11"/>
      <c r="T41" s="12" t="n">
        <v>1000</v>
      </c>
      <c r="U41" s="13" t="s">
        <v>151</v>
      </c>
      <c r="V41" s="14" t="n">
        <v>17011612491</v>
      </c>
      <c r="W41" s="13"/>
    </row>
    <row r="42" customFormat="false" ht="15" hidden="false" customHeight="false" outlineLevel="0" collapsed="false">
      <c r="A42" s="9" t="s">
        <v>152</v>
      </c>
      <c r="B42" s="9"/>
      <c r="C42" s="10" t="n">
        <v>45637</v>
      </c>
      <c r="D42" s="10" t="n">
        <v>45686</v>
      </c>
      <c r="E42" s="10" t="n">
        <v>45695</v>
      </c>
      <c r="F42" s="11"/>
      <c r="G42" s="11"/>
      <c r="H42" s="11"/>
      <c r="I42" s="11"/>
      <c r="J42" s="11"/>
      <c r="K42" s="11"/>
      <c r="L42" s="11" t="s">
        <v>24</v>
      </c>
      <c r="M42" s="11" t="s">
        <v>25</v>
      </c>
      <c r="N42" s="11"/>
      <c r="O42" s="11"/>
      <c r="P42" s="11"/>
      <c r="Q42" s="11"/>
      <c r="R42" s="11"/>
      <c r="S42" s="11"/>
      <c r="T42" s="12" t="n">
        <v>11075.7</v>
      </c>
      <c r="U42" s="13" t="s">
        <v>153</v>
      </c>
      <c r="V42" s="14" t="n">
        <v>10710990430</v>
      </c>
      <c r="W42" s="13"/>
    </row>
    <row r="43" customFormat="false" ht="15" hidden="false" customHeight="false" outlineLevel="0" collapsed="false">
      <c r="A43" s="9" t="s">
        <v>154</v>
      </c>
      <c r="B43" s="9"/>
      <c r="C43" s="10" t="n">
        <v>45840</v>
      </c>
      <c r="D43" s="10" t="n">
        <v>45852</v>
      </c>
      <c r="E43" s="10" t="n">
        <v>45859</v>
      </c>
      <c r="F43" s="10" t="n">
        <v>45874</v>
      </c>
      <c r="G43" s="11"/>
      <c r="H43" s="11"/>
      <c r="I43" s="11"/>
      <c r="J43" s="11"/>
      <c r="K43" s="11"/>
      <c r="L43" s="11" t="s">
        <v>24</v>
      </c>
      <c r="M43" s="11" t="s">
        <v>126</v>
      </c>
      <c r="N43" s="11"/>
      <c r="O43" s="11"/>
      <c r="P43" s="11"/>
      <c r="Q43" s="11"/>
      <c r="R43" s="11"/>
      <c r="S43" s="11"/>
      <c r="T43" s="12" t="n">
        <v>5000</v>
      </c>
      <c r="U43" s="13" t="s">
        <v>155</v>
      </c>
      <c r="V43" s="14" t="n">
        <v>50350943400</v>
      </c>
      <c r="W43" s="13"/>
    </row>
    <row r="44" customFormat="false" ht="15" hidden="false" customHeight="false" outlineLevel="0" collapsed="false">
      <c r="A44" s="9" t="s">
        <v>156</v>
      </c>
      <c r="B44" s="9"/>
      <c r="C44" s="10" t="n">
        <v>45876</v>
      </c>
      <c r="D44" s="10" t="n">
        <v>46978</v>
      </c>
      <c r="E44" s="10" t="n">
        <v>45890</v>
      </c>
      <c r="F44" s="10"/>
      <c r="G44" s="11"/>
      <c r="H44" s="11"/>
      <c r="I44" s="11"/>
      <c r="J44" s="11"/>
      <c r="K44" s="11"/>
      <c r="L44" s="11" t="s">
        <v>28</v>
      </c>
      <c r="M44" s="11" t="s">
        <v>157</v>
      </c>
      <c r="N44" s="11"/>
      <c r="O44" s="11"/>
      <c r="P44" s="11"/>
      <c r="Q44" s="11"/>
      <c r="R44" s="11"/>
      <c r="S44" s="11"/>
      <c r="T44" s="12" t="n">
        <v>5000</v>
      </c>
      <c r="U44" s="13" t="s">
        <v>158</v>
      </c>
      <c r="V44" s="14" t="n">
        <v>2485037400</v>
      </c>
      <c r="W44" s="13"/>
    </row>
    <row r="45" customFormat="false" ht="15" hidden="false" customHeight="false" outlineLevel="0" collapsed="false">
      <c r="A45" s="9" t="s">
        <v>159</v>
      </c>
      <c r="B45" s="9"/>
      <c r="C45" s="10" t="n">
        <v>45727</v>
      </c>
      <c r="D45" s="10" t="n">
        <v>45728</v>
      </c>
      <c r="E45" s="10" t="n">
        <v>45742</v>
      </c>
      <c r="F45" s="11"/>
      <c r="G45" s="10" t="n">
        <v>45824</v>
      </c>
      <c r="H45" s="11"/>
      <c r="I45" s="11"/>
      <c r="J45" s="11"/>
      <c r="K45" s="11"/>
      <c r="L45" s="11" t="s">
        <v>28</v>
      </c>
      <c r="M45" s="15" t="s">
        <v>160</v>
      </c>
      <c r="N45" s="11"/>
      <c r="O45" s="11"/>
      <c r="P45" s="11"/>
      <c r="Q45" s="11"/>
      <c r="R45" s="11"/>
      <c r="S45" s="11"/>
      <c r="T45" s="12" t="n">
        <v>3300</v>
      </c>
      <c r="U45" s="13" t="s">
        <v>161</v>
      </c>
      <c r="V45" s="14" t="n">
        <v>9216436409</v>
      </c>
      <c r="W45" s="13"/>
    </row>
    <row r="46" customFormat="false" ht="15" hidden="false" customHeight="false" outlineLevel="0" collapsed="false">
      <c r="A46" s="9" t="s">
        <v>162</v>
      </c>
      <c r="B46" s="9"/>
      <c r="C46" s="10" t="n">
        <v>45672</v>
      </c>
      <c r="D46" s="10" t="n">
        <v>45663</v>
      </c>
      <c r="E46" s="10" t="n">
        <v>45705</v>
      </c>
      <c r="F46" s="10"/>
      <c r="G46" s="11"/>
      <c r="H46" s="11"/>
      <c r="I46" s="11"/>
      <c r="J46" s="11"/>
      <c r="K46" s="11"/>
      <c r="L46" s="11" t="s">
        <v>28</v>
      </c>
      <c r="M46" s="15" t="s">
        <v>160</v>
      </c>
      <c r="N46" s="11"/>
      <c r="O46" s="11"/>
      <c r="P46" s="10" t="n">
        <v>45740</v>
      </c>
      <c r="Q46" s="11" t="s">
        <v>51</v>
      </c>
      <c r="R46" s="11"/>
      <c r="S46" s="11"/>
      <c r="T46" s="12" t="n">
        <v>2600</v>
      </c>
      <c r="U46" s="13" t="s">
        <v>161</v>
      </c>
      <c r="V46" s="14" t="n">
        <v>9216436409</v>
      </c>
      <c r="W46" s="13"/>
    </row>
    <row r="47" customFormat="false" ht="15" hidden="false" customHeight="false" outlineLevel="0" collapsed="false">
      <c r="A47" s="9" t="s">
        <v>163</v>
      </c>
      <c r="B47" s="9" t="s">
        <v>33</v>
      </c>
      <c r="C47" s="10" t="n">
        <v>45849</v>
      </c>
      <c r="D47" s="10" t="n">
        <v>45856</v>
      </c>
      <c r="E47" s="10" t="n">
        <v>45869</v>
      </c>
      <c r="F47" s="10"/>
      <c r="G47" s="16" t="n">
        <v>46001</v>
      </c>
      <c r="H47" s="16" t="n">
        <v>46029</v>
      </c>
      <c r="I47" s="11" t="s">
        <v>34</v>
      </c>
      <c r="J47" s="11"/>
      <c r="K47" s="11"/>
      <c r="L47" s="11" t="s">
        <v>28</v>
      </c>
      <c r="M47" s="15" t="s">
        <v>164</v>
      </c>
      <c r="N47" s="11"/>
      <c r="O47" s="11"/>
      <c r="P47" s="10"/>
      <c r="Q47" s="11"/>
      <c r="R47" s="11"/>
      <c r="S47" s="11"/>
      <c r="T47" s="12" t="n">
        <v>2200</v>
      </c>
      <c r="U47" s="13" t="s">
        <v>165</v>
      </c>
      <c r="V47" s="14" t="n">
        <v>9008572427</v>
      </c>
      <c r="W47" s="13"/>
    </row>
    <row r="48" customFormat="false" ht="15" hidden="false" customHeight="false" outlineLevel="0" collapsed="false">
      <c r="A48" s="9" t="s">
        <v>166</v>
      </c>
      <c r="B48" s="9" t="s">
        <v>33</v>
      </c>
      <c r="C48" s="10" t="n">
        <v>45624</v>
      </c>
      <c r="D48" s="10" t="n">
        <v>45635</v>
      </c>
      <c r="E48" s="10" t="n">
        <v>45643</v>
      </c>
      <c r="F48" s="10" t="n">
        <v>45846</v>
      </c>
      <c r="G48" s="11"/>
      <c r="H48" s="11"/>
      <c r="I48" s="11" t="s">
        <v>34</v>
      </c>
      <c r="J48" s="29" t="n">
        <v>2860.2</v>
      </c>
      <c r="K48" s="11" t="s">
        <v>34</v>
      </c>
      <c r="L48" s="11" t="s">
        <v>24</v>
      </c>
      <c r="M48" s="11" t="s">
        <v>167</v>
      </c>
      <c r="N48" s="15" t="s">
        <v>168</v>
      </c>
      <c r="O48" s="11" t="s">
        <v>34</v>
      </c>
      <c r="P48" s="11"/>
      <c r="Q48" s="11"/>
      <c r="R48" s="11"/>
      <c r="S48" s="11"/>
      <c r="T48" s="12" t="n">
        <v>21600</v>
      </c>
      <c r="U48" s="13" t="s">
        <v>169</v>
      </c>
      <c r="V48" s="14" t="n">
        <v>1075318440</v>
      </c>
      <c r="W48" s="13"/>
    </row>
    <row r="49" customFormat="false" ht="15" hidden="false" customHeight="false" outlineLevel="0" collapsed="false">
      <c r="A49" s="9" t="s">
        <v>170</v>
      </c>
      <c r="B49" s="9" t="s">
        <v>33</v>
      </c>
      <c r="C49" s="10" t="n">
        <v>45615</v>
      </c>
      <c r="D49" s="10" t="n">
        <v>45622</v>
      </c>
      <c r="E49" s="10" t="n">
        <v>45625</v>
      </c>
      <c r="F49" s="10" t="n">
        <v>45734</v>
      </c>
      <c r="G49" s="11"/>
      <c r="H49" s="11"/>
      <c r="I49" s="11" t="s">
        <v>34</v>
      </c>
      <c r="J49" s="11"/>
      <c r="K49" s="11"/>
      <c r="L49" s="11" t="s">
        <v>24</v>
      </c>
      <c r="M49" s="11" t="s">
        <v>25</v>
      </c>
      <c r="N49" s="11"/>
      <c r="O49" s="11" t="s">
        <v>34</v>
      </c>
      <c r="P49" s="11"/>
      <c r="Q49" s="11"/>
      <c r="R49" s="11"/>
      <c r="S49" s="11"/>
      <c r="T49" s="12" t="n">
        <v>11658.71</v>
      </c>
      <c r="U49" s="13" t="s">
        <v>171</v>
      </c>
      <c r="V49" s="14" t="n">
        <v>22136967487</v>
      </c>
      <c r="W49" s="13"/>
    </row>
    <row r="50" customFormat="false" ht="15" hidden="false" customHeight="false" outlineLevel="0" collapsed="false">
      <c r="A50" s="9" t="s">
        <v>172</v>
      </c>
      <c r="B50" s="9"/>
      <c r="C50" s="10" t="n">
        <v>45727</v>
      </c>
      <c r="D50" s="10" t="n">
        <v>45728</v>
      </c>
      <c r="E50" s="10" t="n">
        <v>45736</v>
      </c>
      <c r="F50" s="11"/>
      <c r="G50" s="11"/>
      <c r="H50" s="11"/>
      <c r="I50" s="11"/>
      <c r="J50" s="11"/>
      <c r="K50" s="11"/>
      <c r="L50" s="11" t="s">
        <v>24</v>
      </c>
      <c r="M50" s="11" t="s">
        <v>173</v>
      </c>
      <c r="N50" s="11"/>
      <c r="O50" s="11"/>
      <c r="P50" s="11"/>
      <c r="Q50" s="11"/>
      <c r="R50" s="11"/>
      <c r="S50" s="11"/>
      <c r="T50" s="12" t="n">
        <v>50900</v>
      </c>
      <c r="U50" s="13" t="s">
        <v>174</v>
      </c>
      <c r="V50" s="14" t="n">
        <v>2038584419</v>
      </c>
      <c r="W50" s="13"/>
    </row>
    <row r="51" s="28" customFormat="true" ht="15" hidden="false" customHeight="false" outlineLevel="0" collapsed="false">
      <c r="A51" s="9" t="s">
        <v>175</v>
      </c>
      <c r="B51" s="9"/>
      <c r="C51" s="10" t="n">
        <v>45622</v>
      </c>
      <c r="D51" s="10" t="n">
        <v>45625</v>
      </c>
      <c r="E51" s="10" t="n">
        <v>45639</v>
      </c>
      <c r="F51" s="11"/>
      <c r="G51" s="11"/>
      <c r="H51" s="11"/>
      <c r="I51" s="11"/>
      <c r="J51" s="11"/>
      <c r="K51" s="11"/>
      <c r="L51" s="11" t="s">
        <v>28</v>
      </c>
      <c r="M51" s="15" t="s">
        <v>43</v>
      </c>
      <c r="N51" s="11"/>
      <c r="O51" s="11"/>
      <c r="P51" s="11"/>
      <c r="Q51" s="11"/>
      <c r="R51" s="11"/>
      <c r="S51" s="11"/>
      <c r="T51" s="12" t="n">
        <v>5000</v>
      </c>
      <c r="U51" s="13" t="s">
        <v>176</v>
      </c>
      <c r="V51" s="14" t="n">
        <v>49129970482</v>
      </c>
      <c r="W51" s="13" t="s">
        <v>70</v>
      </c>
    </row>
    <row r="52" customFormat="false" ht="15" hidden="false" customHeight="false" outlineLevel="0" collapsed="false">
      <c r="A52" s="9" t="s">
        <v>177</v>
      </c>
      <c r="B52" s="9"/>
      <c r="C52" s="10" t="n">
        <v>45729</v>
      </c>
      <c r="D52" s="10" t="n">
        <v>45736</v>
      </c>
      <c r="E52" s="10" t="n">
        <v>45771</v>
      </c>
      <c r="F52" s="11"/>
      <c r="G52" s="11"/>
      <c r="H52" s="11"/>
      <c r="I52" s="11"/>
      <c r="J52" s="11"/>
      <c r="K52" s="11"/>
      <c r="L52" s="11" t="s">
        <v>28</v>
      </c>
      <c r="M52" s="15" t="s">
        <v>178</v>
      </c>
      <c r="N52" s="11"/>
      <c r="O52" s="11"/>
      <c r="P52" s="11"/>
      <c r="Q52" s="11"/>
      <c r="R52" s="11"/>
      <c r="S52" s="11"/>
      <c r="T52" s="12" t="n">
        <v>7900</v>
      </c>
      <c r="U52" s="13" t="s">
        <v>179</v>
      </c>
      <c r="V52" s="14" t="n">
        <v>892716452</v>
      </c>
      <c r="W52" s="13"/>
    </row>
    <row r="53" customFormat="false" ht="15" hidden="false" customHeight="false" outlineLevel="0" collapsed="false">
      <c r="A53" s="27" t="s">
        <v>180</v>
      </c>
      <c r="B53" s="9"/>
      <c r="C53" s="10" t="n">
        <v>45728</v>
      </c>
      <c r="D53" s="10" t="n">
        <v>45736</v>
      </c>
      <c r="E53" s="10" t="n">
        <v>45744</v>
      </c>
      <c r="F53" s="10"/>
      <c r="G53" s="11"/>
      <c r="H53" s="11"/>
      <c r="I53" s="11"/>
      <c r="J53" s="11"/>
      <c r="K53" s="11"/>
      <c r="L53" s="11" t="s">
        <v>24</v>
      </c>
      <c r="M53" s="11" t="s">
        <v>25</v>
      </c>
      <c r="N53" s="11"/>
      <c r="O53" s="11"/>
      <c r="P53" s="11"/>
      <c r="Q53" s="11"/>
      <c r="R53" s="11"/>
      <c r="S53" s="11"/>
      <c r="T53" s="12" t="n">
        <v>29520</v>
      </c>
      <c r="U53" s="13" t="s">
        <v>181</v>
      </c>
      <c r="V53" s="14" t="n">
        <v>14077485487</v>
      </c>
      <c r="W53" s="13"/>
      <c r="X53" s="28"/>
    </row>
    <row r="54" customFormat="false" ht="15" hidden="false" customHeight="false" outlineLevel="0" collapsed="false">
      <c r="A54" s="9" t="s">
        <v>182</v>
      </c>
      <c r="B54" s="9"/>
      <c r="C54" s="10" t="n">
        <v>45888</v>
      </c>
      <c r="D54" s="10" t="n">
        <v>45897</v>
      </c>
      <c r="E54" s="10" t="n">
        <v>45923</v>
      </c>
      <c r="F54" s="10" t="n">
        <v>45932</v>
      </c>
      <c r="G54" s="11"/>
      <c r="H54" s="11"/>
      <c r="I54" s="11" t="s">
        <v>34</v>
      </c>
      <c r="J54" s="11"/>
      <c r="K54" s="11"/>
      <c r="L54" s="11" t="s">
        <v>28</v>
      </c>
      <c r="M54" s="15" t="s">
        <v>95</v>
      </c>
      <c r="N54" s="11"/>
      <c r="O54" s="11"/>
      <c r="P54" s="10"/>
      <c r="Q54" s="11"/>
      <c r="R54" s="11"/>
      <c r="S54" s="11"/>
      <c r="T54" s="12" t="n">
        <v>2000</v>
      </c>
      <c r="U54" s="13" t="s">
        <v>183</v>
      </c>
      <c r="V54" s="14" t="n">
        <v>53838033434</v>
      </c>
      <c r="W54" s="13"/>
    </row>
    <row r="55" customFormat="false" ht="15" hidden="false" customHeight="false" outlineLevel="0" collapsed="false">
      <c r="A55" s="27" t="s">
        <v>184</v>
      </c>
      <c r="B55" s="9"/>
      <c r="C55" s="10" t="n">
        <v>45793</v>
      </c>
      <c r="D55" s="10" t="n">
        <v>45811</v>
      </c>
      <c r="E55" s="10" t="n">
        <v>45840</v>
      </c>
      <c r="F55" s="10"/>
      <c r="G55" s="11"/>
      <c r="H55" s="11"/>
      <c r="I55" s="11"/>
      <c r="J55" s="11"/>
      <c r="K55" s="11"/>
      <c r="L55" s="11" t="s">
        <v>28</v>
      </c>
      <c r="M55" s="15" t="s">
        <v>185</v>
      </c>
      <c r="N55" s="11"/>
      <c r="O55" s="11"/>
      <c r="P55" s="11"/>
      <c r="Q55" s="11"/>
      <c r="R55" s="11"/>
      <c r="S55" s="11"/>
      <c r="T55" s="12" t="n">
        <v>17403.4</v>
      </c>
      <c r="U55" s="13" t="s">
        <v>186</v>
      </c>
      <c r="V55" s="14" t="n">
        <v>50288032420</v>
      </c>
      <c r="W55" s="13"/>
    </row>
    <row r="56" customFormat="false" ht="15" hidden="false" customHeight="false" outlineLevel="0" collapsed="false">
      <c r="A56" s="9" t="s">
        <v>187</v>
      </c>
      <c r="B56" s="9"/>
      <c r="C56" s="10" t="n">
        <v>45596</v>
      </c>
      <c r="D56" s="10" t="n">
        <v>45602</v>
      </c>
      <c r="E56" s="10" t="n">
        <v>45617</v>
      </c>
      <c r="F56" s="11"/>
      <c r="G56" s="10" t="n">
        <v>45799</v>
      </c>
      <c r="H56" s="10" t="n">
        <v>45824</v>
      </c>
      <c r="I56" s="11"/>
      <c r="J56" s="11"/>
      <c r="K56" s="11" t="s">
        <v>34</v>
      </c>
      <c r="L56" s="11" t="s">
        <v>28</v>
      </c>
      <c r="M56" s="11" t="s">
        <v>188</v>
      </c>
      <c r="N56" s="11"/>
      <c r="O56" s="11"/>
      <c r="P56" s="10" t="n">
        <v>45870</v>
      </c>
      <c r="Q56" s="11" t="s">
        <v>40</v>
      </c>
      <c r="R56" s="11"/>
      <c r="S56" s="11"/>
      <c r="T56" s="12" t="n">
        <v>6600</v>
      </c>
      <c r="U56" s="13" t="s">
        <v>189</v>
      </c>
      <c r="V56" s="14" t="n">
        <v>79206174487</v>
      </c>
      <c r="W56" s="13"/>
    </row>
    <row r="57" customFormat="false" ht="15" hidden="false" customHeight="false" outlineLevel="0" collapsed="false">
      <c r="A57" s="9" t="s">
        <v>190</v>
      </c>
      <c r="B57" s="9"/>
      <c r="C57" s="10" t="n">
        <v>45876</v>
      </c>
      <c r="D57" s="10" t="n">
        <v>45881</v>
      </c>
      <c r="E57" s="10" t="n">
        <v>45897</v>
      </c>
      <c r="F57" s="10" t="n">
        <v>45959</v>
      </c>
      <c r="G57" s="11"/>
      <c r="H57" s="11"/>
      <c r="I57" s="11"/>
      <c r="J57" s="11"/>
      <c r="K57" s="11"/>
      <c r="L57" s="11" t="s">
        <v>28</v>
      </c>
      <c r="M57" s="15" t="s">
        <v>191</v>
      </c>
      <c r="N57" s="11"/>
      <c r="O57" s="11"/>
      <c r="P57" s="10" t="n">
        <v>45931</v>
      </c>
      <c r="Q57" s="11" t="s">
        <v>40</v>
      </c>
      <c r="R57" s="11"/>
      <c r="S57" s="11"/>
      <c r="T57" s="12" t="n">
        <v>1965.98</v>
      </c>
      <c r="U57" s="13" t="s">
        <v>189</v>
      </c>
      <c r="V57" s="14" t="n">
        <v>79206174487</v>
      </c>
      <c r="W57" s="13"/>
    </row>
    <row r="58" customFormat="false" ht="15" hidden="false" customHeight="false" outlineLevel="0" collapsed="false">
      <c r="A58" s="27" t="s">
        <v>184</v>
      </c>
      <c r="B58" s="9"/>
      <c r="C58" s="10" t="n">
        <v>45793</v>
      </c>
      <c r="D58" s="10" t="n">
        <v>45811</v>
      </c>
      <c r="E58" s="10" t="n">
        <v>45840</v>
      </c>
      <c r="F58" s="10"/>
      <c r="G58" s="11"/>
      <c r="H58" s="11"/>
      <c r="I58" s="11"/>
      <c r="J58" s="11"/>
      <c r="K58" s="11"/>
      <c r="L58" s="11" t="s">
        <v>28</v>
      </c>
      <c r="M58" s="15" t="s">
        <v>185</v>
      </c>
      <c r="N58" s="11"/>
      <c r="O58" s="11"/>
      <c r="P58" s="11"/>
      <c r="Q58" s="11"/>
      <c r="R58" s="11"/>
      <c r="S58" s="11"/>
      <c r="T58" s="12" t="n">
        <v>27684.08</v>
      </c>
      <c r="U58" s="13" t="s">
        <v>192</v>
      </c>
      <c r="V58" s="14" t="n">
        <v>77801172434</v>
      </c>
      <c r="W58" s="13"/>
    </row>
    <row r="59" customFormat="false" ht="15" hidden="false" customHeight="false" outlineLevel="0" collapsed="false">
      <c r="A59" s="26" t="s">
        <v>193</v>
      </c>
      <c r="B59" s="26"/>
      <c r="C59" s="10" t="n">
        <v>45615</v>
      </c>
      <c r="D59" s="10" t="n">
        <v>45625</v>
      </c>
      <c r="E59" s="10" t="n">
        <v>45635</v>
      </c>
      <c r="F59" s="11"/>
      <c r="G59" s="10" t="n">
        <v>45800</v>
      </c>
      <c r="H59" s="10" t="n">
        <v>45818</v>
      </c>
      <c r="I59" s="11"/>
      <c r="J59" s="11"/>
      <c r="K59" s="11"/>
      <c r="L59" s="11" t="s">
        <v>28</v>
      </c>
      <c r="M59" s="11" t="s">
        <v>194</v>
      </c>
      <c r="N59" s="11"/>
      <c r="O59" s="11"/>
      <c r="P59" s="11"/>
      <c r="Q59" s="11"/>
      <c r="R59" s="11"/>
      <c r="S59" s="11"/>
      <c r="T59" s="12" t="n">
        <v>1100</v>
      </c>
      <c r="U59" s="13" t="s">
        <v>195</v>
      </c>
      <c r="V59" s="14" t="n">
        <v>5679343495</v>
      </c>
      <c r="W59" s="13"/>
    </row>
    <row r="60" customFormat="false" ht="15" hidden="false" customHeight="false" outlineLevel="0" collapsed="false">
      <c r="A60" s="9" t="s">
        <v>196</v>
      </c>
      <c r="B60" s="9"/>
      <c r="C60" s="10" t="n">
        <v>45821</v>
      </c>
      <c r="D60" s="10" t="n">
        <v>45826</v>
      </c>
      <c r="E60" s="10"/>
      <c r="F60" s="10"/>
      <c r="G60" s="11"/>
      <c r="H60" s="11"/>
      <c r="I60" s="11"/>
      <c r="J60" s="11"/>
      <c r="K60" s="11"/>
      <c r="L60" s="11" t="s">
        <v>28</v>
      </c>
      <c r="M60" s="15" t="s">
        <v>197</v>
      </c>
      <c r="N60" s="11"/>
      <c r="O60" s="11"/>
      <c r="P60" s="11"/>
      <c r="Q60" s="11"/>
      <c r="R60" s="11"/>
      <c r="S60" s="11"/>
      <c r="T60" s="12" t="n">
        <v>5000</v>
      </c>
      <c r="U60" s="13" t="s">
        <v>195</v>
      </c>
      <c r="V60" s="14" t="n">
        <v>5679343495</v>
      </c>
      <c r="W60" s="13"/>
    </row>
    <row r="61" customFormat="false" ht="15" hidden="false" customHeight="false" outlineLevel="0" collapsed="false">
      <c r="A61" s="9" t="s">
        <v>198</v>
      </c>
      <c r="B61" s="9"/>
      <c r="C61" s="10" t="n">
        <v>45608</v>
      </c>
      <c r="D61" s="10" t="n">
        <v>45622</v>
      </c>
      <c r="E61" s="10" t="n">
        <v>45632</v>
      </c>
      <c r="F61" s="10" t="n">
        <v>45639</v>
      </c>
      <c r="G61" s="10" t="n">
        <v>45810</v>
      </c>
      <c r="H61" s="10" t="n">
        <v>45820</v>
      </c>
      <c r="I61" s="11"/>
      <c r="J61" s="11"/>
      <c r="K61" s="11"/>
      <c r="L61" s="11" t="s">
        <v>28</v>
      </c>
      <c r="M61" s="11" t="s">
        <v>199</v>
      </c>
      <c r="N61" s="11"/>
      <c r="O61" s="11"/>
      <c r="P61" s="11"/>
      <c r="Q61" s="11"/>
      <c r="R61" s="11"/>
      <c r="S61" s="11"/>
      <c r="T61" s="12" t="n">
        <v>1000</v>
      </c>
      <c r="U61" s="13" t="s">
        <v>200</v>
      </c>
      <c r="V61" s="14" t="n">
        <v>3078688429</v>
      </c>
      <c r="W61" s="13"/>
    </row>
    <row r="62" customFormat="false" ht="15" hidden="false" customHeight="false" outlineLevel="0" collapsed="false">
      <c r="A62" s="9" t="s">
        <v>201</v>
      </c>
      <c r="B62" s="9"/>
      <c r="C62" s="10" t="n">
        <v>45608</v>
      </c>
      <c r="D62" s="10" t="n">
        <v>45622</v>
      </c>
      <c r="E62" s="10" t="n">
        <v>45636</v>
      </c>
      <c r="F62" s="11"/>
      <c r="G62" s="10" t="n">
        <v>45810</v>
      </c>
      <c r="H62" s="10" t="n">
        <v>45820</v>
      </c>
      <c r="I62" s="11"/>
      <c r="J62" s="11"/>
      <c r="K62" s="11"/>
      <c r="L62" s="11" t="s">
        <v>28</v>
      </c>
      <c r="M62" s="15" t="s">
        <v>202</v>
      </c>
      <c r="N62" s="11"/>
      <c r="O62" s="11"/>
      <c r="P62" s="11"/>
      <c r="Q62" s="11"/>
      <c r="R62" s="11"/>
      <c r="S62" s="11"/>
      <c r="T62" s="12" t="n">
        <v>2200</v>
      </c>
      <c r="U62" s="13" t="s">
        <v>203</v>
      </c>
      <c r="V62" s="14" t="n">
        <v>80719767415</v>
      </c>
      <c r="W62" s="13"/>
    </row>
    <row r="63" customFormat="false" ht="15" hidden="false" customHeight="false" outlineLevel="0" collapsed="false">
      <c r="A63" s="27" t="s">
        <v>80</v>
      </c>
      <c r="B63" s="9" t="s">
        <v>33</v>
      </c>
      <c r="C63" s="10" t="n">
        <v>45784</v>
      </c>
      <c r="D63" s="10" t="n">
        <v>45790</v>
      </c>
      <c r="E63" s="10" t="n">
        <v>45799</v>
      </c>
      <c r="F63" s="10" t="n">
        <v>45859</v>
      </c>
      <c r="G63" s="11"/>
      <c r="H63" s="11"/>
      <c r="I63" s="11" t="s">
        <v>34</v>
      </c>
      <c r="K63" s="11"/>
      <c r="L63" s="11" t="s">
        <v>24</v>
      </c>
      <c r="M63" s="11" t="s">
        <v>167</v>
      </c>
      <c r="N63" s="11"/>
      <c r="O63" s="11"/>
      <c r="P63" s="11"/>
      <c r="Q63" s="11"/>
      <c r="R63" s="11"/>
      <c r="S63" s="11"/>
      <c r="T63" s="12" t="n">
        <v>61149.12</v>
      </c>
      <c r="U63" s="13" t="s">
        <v>204</v>
      </c>
      <c r="V63" s="14" t="n">
        <v>10772359415</v>
      </c>
      <c r="W63" s="13"/>
    </row>
    <row r="64" customFormat="false" ht="15" hidden="false" customHeight="false" outlineLevel="0" collapsed="false">
      <c r="A64" s="27" t="s">
        <v>205</v>
      </c>
      <c r="B64" s="9"/>
      <c r="C64" s="10" t="n">
        <v>45596</v>
      </c>
      <c r="D64" s="10" t="n">
        <v>45603</v>
      </c>
      <c r="E64" s="10" t="n">
        <v>45608</v>
      </c>
      <c r="F64" s="10" t="n">
        <v>45629</v>
      </c>
      <c r="G64" s="11"/>
      <c r="H64" s="11"/>
      <c r="I64" s="11" t="s">
        <v>34</v>
      </c>
      <c r="J64" s="11"/>
      <c r="K64" s="11"/>
      <c r="L64" s="11" t="s">
        <v>24</v>
      </c>
      <c r="M64" s="11" t="s">
        <v>206</v>
      </c>
      <c r="N64" s="11"/>
      <c r="O64" s="11" t="s">
        <v>34</v>
      </c>
      <c r="P64" s="11"/>
      <c r="Q64" s="11"/>
      <c r="R64" s="11"/>
      <c r="S64" s="11"/>
      <c r="T64" s="12" t="n">
        <v>300</v>
      </c>
      <c r="U64" s="13" t="s">
        <v>207</v>
      </c>
      <c r="V64" s="14" t="n">
        <v>10827366434</v>
      </c>
      <c r="W64" s="13"/>
    </row>
    <row r="65" customFormat="false" ht="15" hidden="false" customHeight="false" outlineLevel="0" collapsed="false">
      <c r="A65" s="9" t="s">
        <v>208</v>
      </c>
      <c r="B65" s="9"/>
      <c r="C65" s="10" t="n">
        <v>45679</v>
      </c>
      <c r="D65" s="10" t="n">
        <v>45694</v>
      </c>
      <c r="E65" s="10" t="n">
        <v>45729</v>
      </c>
      <c r="F65" s="10"/>
      <c r="G65" s="11"/>
      <c r="H65" s="11"/>
      <c r="I65" s="11"/>
      <c r="J65" s="11"/>
      <c r="K65" s="11"/>
      <c r="L65" s="11" t="s">
        <v>28</v>
      </c>
      <c r="M65" s="15" t="s">
        <v>209</v>
      </c>
      <c r="N65" s="11"/>
      <c r="O65" s="11"/>
      <c r="P65" s="10" t="n">
        <v>45810</v>
      </c>
      <c r="Q65" s="11" t="s">
        <v>40</v>
      </c>
      <c r="R65" s="11"/>
      <c r="S65" s="11"/>
      <c r="T65" s="12" t="n">
        <v>21600</v>
      </c>
      <c r="U65" s="13" t="s">
        <v>210</v>
      </c>
      <c r="V65" s="14" t="n">
        <v>77821807400</v>
      </c>
      <c r="W65" s="13"/>
    </row>
    <row r="66" customFormat="false" ht="15" hidden="false" customHeight="false" outlineLevel="0" collapsed="false">
      <c r="A66" s="9" t="s">
        <v>211</v>
      </c>
      <c r="B66" s="9"/>
      <c r="C66" s="10" t="n">
        <v>45674</v>
      </c>
      <c r="D66" s="10" t="n">
        <v>45681</v>
      </c>
      <c r="E66" s="10" t="n">
        <v>45695</v>
      </c>
      <c r="F66" s="10"/>
      <c r="G66" s="11"/>
      <c r="H66" s="11"/>
      <c r="I66" s="11"/>
      <c r="J66" s="11"/>
      <c r="K66" s="11"/>
      <c r="L66" s="11" t="s">
        <v>28</v>
      </c>
      <c r="M66" s="15" t="s">
        <v>212</v>
      </c>
      <c r="N66" s="11"/>
      <c r="O66" s="11"/>
      <c r="P66" s="11"/>
      <c r="Q66" s="11"/>
      <c r="R66" s="11"/>
      <c r="S66" s="11" t="s">
        <v>33</v>
      </c>
      <c r="T66" s="12" t="n">
        <v>12620</v>
      </c>
      <c r="U66" s="13" t="s">
        <v>213</v>
      </c>
      <c r="V66" s="14" t="n">
        <v>47439670400</v>
      </c>
      <c r="W66" s="13"/>
    </row>
    <row r="67" customFormat="false" ht="15" hidden="false" customHeight="false" outlineLevel="0" collapsed="false">
      <c r="A67" s="9" t="s">
        <v>214</v>
      </c>
      <c r="B67" s="9"/>
      <c r="C67" s="10" t="n">
        <v>45726</v>
      </c>
      <c r="D67" s="10" t="n">
        <v>45728</v>
      </c>
      <c r="E67" s="10" t="n">
        <v>45734</v>
      </c>
      <c r="F67" s="10"/>
      <c r="G67" s="11"/>
      <c r="H67" s="11"/>
      <c r="I67" s="11"/>
      <c r="J67" s="11"/>
      <c r="K67" s="11"/>
      <c r="L67" s="11" t="s">
        <v>24</v>
      </c>
      <c r="M67" s="11" t="s">
        <v>215</v>
      </c>
      <c r="N67" s="11"/>
      <c r="O67" s="11" t="s">
        <v>34</v>
      </c>
      <c r="P67" s="11"/>
      <c r="Q67" s="11" t="s">
        <v>51</v>
      </c>
      <c r="R67" s="11"/>
      <c r="S67" s="11"/>
      <c r="T67" s="12" t="n">
        <v>9632.88</v>
      </c>
      <c r="U67" s="13" t="s">
        <v>216</v>
      </c>
      <c r="V67" s="14" t="n">
        <v>83689265487</v>
      </c>
      <c r="W67" s="13"/>
    </row>
    <row r="68" customFormat="false" ht="15" hidden="false" customHeight="false" outlineLevel="0" collapsed="false">
      <c r="A68" s="9" t="s">
        <v>217</v>
      </c>
      <c r="B68" s="9"/>
      <c r="C68" s="10" t="n">
        <v>45727</v>
      </c>
      <c r="D68" s="10" t="n">
        <v>45728</v>
      </c>
      <c r="E68" s="10" t="n">
        <v>45742</v>
      </c>
      <c r="F68" s="11"/>
      <c r="G68" s="10" t="n">
        <v>45839</v>
      </c>
      <c r="H68" s="10" t="n">
        <v>45854</v>
      </c>
      <c r="I68" s="11" t="s">
        <v>34</v>
      </c>
      <c r="J68" s="11"/>
      <c r="K68" s="11"/>
      <c r="L68" s="11" t="s">
        <v>218</v>
      </c>
      <c r="M68" s="11" t="s">
        <v>219</v>
      </c>
      <c r="N68" s="11"/>
      <c r="O68" s="11"/>
      <c r="P68" s="11"/>
      <c r="Q68" s="11"/>
      <c r="R68" s="11"/>
      <c r="S68" s="11"/>
      <c r="T68" s="12" t="n">
        <v>4447.06</v>
      </c>
      <c r="U68" s="13" t="s">
        <v>220</v>
      </c>
      <c r="V68" s="14" t="n">
        <v>9733892491</v>
      </c>
      <c r="W68" s="13"/>
    </row>
    <row r="69" customFormat="false" ht="15" hidden="false" customHeight="false" outlineLevel="0" collapsed="false">
      <c r="A69" s="9" t="s">
        <v>221</v>
      </c>
      <c r="B69" s="9"/>
      <c r="C69" s="10" t="n">
        <v>45876</v>
      </c>
      <c r="D69" s="10" t="n">
        <v>45882</v>
      </c>
      <c r="E69" s="10" t="n">
        <v>45895</v>
      </c>
      <c r="F69" s="10"/>
      <c r="G69" s="11"/>
      <c r="H69" s="11"/>
      <c r="I69" s="11"/>
      <c r="J69" s="11"/>
      <c r="K69" s="11"/>
      <c r="L69" s="11" t="s">
        <v>28</v>
      </c>
      <c r="M69" s="15" t="s">
        <v>222</v>
      </c>
      <c r="N69" s="11"/>
      <c r="O69" s="11"/>
      <c r="P69" s="10" t="n">
        <v>45979</v>
      </c>
      <c r="Q69" s="11" t="s">
        <v>40</v>
      </c>
      <c r="R69" s="11"/>
      <c r="S69" s="11"/>
      <c r="T69" s="12" t="n">
        <v>8700</v>
      </c>
      <c r="U69" s="13" t="s">
        <v>223</v>
      </c>
      <c r="V69" s="14" t="n">
        <v>7088099446</v>
      </c>
      <c r="W69" s="13"/>
    </row>
    <row r="70" customFormat="false" ht="15" hidden="false" customHeight="false" outlineLevel="0" collapsed="false">
      <c r="A70" s="9" t="s">
        <v>224</v>
      </c>
      <c r="B70" s="9"/>
      <c r="C70" s="10" t="n">
        <v>45624</v>
      </c>
      <c r="D70" s="10" t="n">
        <v>45635</v>
      </c>
      <c r="E70" s="10" t="n">
        <v>45643</v>
      </c>
      <c r="F70" s="11"/>
      <c r="G70" s="10" t="n">
        <v>45792</v>
      </c>
      <c r="H70" s="10" t="n">
        <v>45806</v>
      </c>
      <c r="I70" s="11"/>
      <c r="J70" s="11"/>
      <c r="K70" s="11"/>
      <c r="L70" s="11" t="s">
        <v>24</v>
      </c>
      <c r="M70" s="11" t="s">
        <v>225</v>
      </c>
      <c r="N70" s="11" t="s">
        <v>226</v>
      </c>
      <c r="O70" s="11"/>
      <c r="P70" s="11"/>
      <c r="Q70" s="11"/>
      <c r="R70" s="11"/>
      <c r="S70" s="11"/>
      <c r="T70" s="12" t="n">
        <v>13000</v>
      </c>
      <c r="U70" s="13" t="s">
        <v>227</v>
      </c>
      <c r="V70" s="14" t="n">
        <v>45536996487</v>
      </c>
      <c r="W70" s="13"/>
    </row>
    <row r="71" customFormat="false" ht="15" hidden="false" customHeight="false" outlineLevel="0" collapsed="false">
      <c r="A71" s="9" t="s">
        <v>228</v>
      </c>
      <c r="B71" s="9"/>
      <c r="C71" s="10" t="n">
        <v>45784</v>
      </c>
      <c r="D71" s="10" t="n">
        <v>45790</v>
      </c>
      <c r="E71" s="10" t="n">
        <v>45798</v>
      </c>
      <c r="F71" s="10"/>
      <c r="G71" s="11"/>
      <c r="H71" s="11"/>
      <c r="I71" s="11"/>
      <c r="J71" s="11"/>
      <c r="K71" s="11"/>
      <c r="L71" s="11" t="s">
        <v>24</v>
      </c>
      <c r="M71" s="11" t="s">
        <v>229</v>
      </c>
      <c r="N71" s="11"/>
      <c r="O71" s="11"/>
      <c r="P71" s="11"/>
      <c r="Q71" s="11"/>
      <c r="R71" s="11"/>
      <c r="S71" s="11"/>
      <c r="T71" s="12" t="n">
        <v>5000</v>
      </c>
      <c r="U71" s="13" t="s">
        <v>227</v>
      </c>
      <c r="V71" s="14" t="n">
        <v>45536996487</v>
      </c>
      <c r="W71" s="13"/>
    </row>
    <row r="72" customFormat="false" ht="15" hidden="false" customHeight="false" outlineLevel="0" collapsed="false">
      <c r="A72" s="9" t="s">
        <v>230</v>
      </c>
      <c r="B72" s="9"/>
      <c r="C72" s="10" t="n">
        <v>45784</v>
      </c>
      <c r="D72" s="10" t="n">
        <v>45790</v>
      </c>
      <c r="E72" s="10" t="n">
        <v>45798</v>
      </c>
      <c r="F72" s="10"/>
      <c r="G72" s="11"/>
      <c r="H72" s="11"/>
      <c r="I72" s="11"/>
      <c r="J72" s="11"/>
      <c r="K72" s="11"/>
      <c r="L72" s="11" t="s">
        <v>24</v>
      </c>
      <c r="M72" s="11" t="s">
        <v>229</v>
      </c>
      <c r="N72" s="11"/>
      <c r="O72" s="11"/>
      <c r="P72" s="11"/>
      <c r="Q72" s="11"/>
      <c r="R72" s="11"/>
      <c r="S72" s="11"/>
      <c r="T72" s="12" t="n">
        <v>5000</v>
      </c>
      <c r="U72" s="13" t="s">
        <v>227</v>
      </c>
      <c r="V72" s="14" t="n">
        <v>45536996487</v>
      </c>
      <c r="W72" s="13"/>
    </row>
    <row r="73" customFormat="false" ht="15" hidden="false" customHeight="false" outlineLevel="0" collapsed="false">
      <c r="A73" s="9" t="s">
        <v>231</v>
      </c>
      <c r="B73" s="9"/>
      <c r="C73" s="10" t="n">
        <v>45876</v>
      </c>
      <c r="D73" s="10" t="n">
        <v>45882</v>
      </c>
      <c r="E73" s="10" t="n">
        <v>45888</v>
      </c>
      <c r="F73" s="10"/>
      <c r="G73" s="11"/>
      <c r="H73" s="11"/>
      <c r="I73" s="11"/>
      <c r="J73" s="11"/>
      <c r="K73" s="11"/>
      <c r="L73" s="11" t="s">
        <v>24</v>
      </c>
      <c r="M73" s="11" t="s">
        <v>229</v>
      </c>
      <c r="N73" s="11"/>
      <c r="O73" s="11"/>
      <c r="P73" s="11"/>
      <c r="Q73" s="11"/>
      <c r="R73" s="11"/>
      <c r="S73" s="11"/>
      <c r="T73" s="12" t="n">
        <v>1100</v>
      </c>
      <c r="U73" s="13" t="s">
        <v>227</v>
      </c>
      <c r="V73" s="14" t="n">
        <v>45536996487</v>
      </c>
      <c r="W73" s="13"/>
    </row>
    <row r="74" customFormat="false" ht="15" hidden="false" customHeight="false" outlineLevel="0" collapsed="false">
      <c r="A74" s="9" t="s">
        <v>232</v>
      </c>
      <c r="B74" s="9"/>
      <c r="C74" s="10" t="n">
        <v>45876</v>
      </c>
      <c r="D74" s="10" t="n">
        <v>45881</v>
      </c>
      <c r="E74" s="10" t="n">
        <v>45888</v>
      </c>
      <c r="F74" s="10"/>
      <c r="G74" s="11"/>
      <c r="H74" s="11"/>
      <c r="I74" s="11"/>
      <c r="J74" s="11"/>
      <c r="K74" s="11"/>
      <c r="L74" s="11" t="s">
        <v>24</v>
      </c>
      <c r="M74" s="11" t="s">
        <v>229</v>
      </c>
      <c r="N74" s="11"/>
      <c r="O74" s="11"/>
      <c r="P74" s="11"/>
      <c r="Q74" s="11"/>
      <c r="R74" s="11"/>
      <c r="S74" s="11"/>
      <c r="T74" s="12" t="n">
        <v>1100</v>
      </c>
      <c r="U74" s="13" t="s">
        <v>227</v>
      </c>
      <c r="V74" s="14" t="n">
        <v>45536996487</v>
      </c>
      <c r="W74" s="13"/>
    </row>
    <row r="75" customFormat="false" ht="15" hidden="false" customHeight="false" outlineLevel="0" collapsed="false">
      <c r="A75" s="9" t="s">
        <v>233</v>
      </c>
      <c r="B75" s="9"/>
      <c r="C75" s="10" t="n">
        <v>45625</v>
      </c>
      <c r="D75" s="10" t="n">
        <v>45635</v>
      </c>
      <c r="E75" s="10" t="n">
        <v>45650</v>
      </c>
      <c r="F75" s="11"/>
      <c r="G75" s="11"/>
      <c r="H75" s="11"/>
      <c r="I75" s="11"/>
      <c r="J75" s="11"/>
      <c r="K75" s="11"/>
      <c r="L75" s="11" t="s">
        <v>28</v>
      </c>
      <c r="M75" s="15" t="s">
        <v>234</v>
      </c>
      <c r="N75" s="11"/>
      <c r="O75" s="11"/>
      <c r="P75" s="10" t="n">
        <v>45692</v>
      </c>
      <c r="Q75" s="11" t="s">
        <v>40</v>
      </c>
      <c r="R75" s="11"/>
      <c r="S75" s="11"/>
      <c r="T75" s="12" t="n">
        <v>12500</v>
      </c>
      <c r="U75" s="13" t="s">
        <v>235</v>
      </c>
      <c r="V75" s="14" t="n">
        <v>3195432420</v>
      </c>
      <c r="W75" s="13"/>
    </row>
    <row r="76" customFormat="false" ht="15" hidden="false" customHeight="false" outlineLevel="0" collapsed="false">
      <c r="A76" s="9" t="s">
        <v>236</v>
      </c>
      <c r="B76" s="9"/>
      <c r="C76" s="10" t="n">
        <v>45890</v>
      </c>
      <c r="D76" s="10" t="n">
        <v>45897</v>
      </c>
      <c r="E76" s="10" t="n">
        <v>45916</v>
      </c>
      <c r="F76" s="10" t="n">
        <v>45932</v>
      </c>
      <c r="G76" s="11"/>
      <c r="H76" s="11"/>
      <c r="I76" s="11" t="s">
        <v>34</v>
      </c>
      <c r="J76" s="11"/>
      <c r="K76" s="11"/>
      <c r="L76" s="11" t="s">
        <v>28</v>
      </c>
      <c r="M76" s="15" t="s">
        <v>237</v>
      </c>
      <c r="N76" s="11"/>
      <c r="O76" s="11"/>
      <c r="P76" s="11"/>
      <c r="Q76" s="11"/>
      <c r="R76" s="11"/>
      <c r="S76" s="11"/>
      <c r="T76" s="12" t="n">
        <v>500</v>
      </c>
      <c r="U76" s="13" t="s">
        <v>238</v>
      </c>
      <c r="V76" s="14" t="n">
        <v>85248290449</v>
      </c>
      <c r="W76" s="13"/>
    </row>
    <row r="77" customFormat="false" ht="15" hidden="false" customHeight="false" outlineLevel="0" collapsed="false">
      <c r="A77" s="27" t="s">
        <v>239</v>
      </c>
      <c r="B77" s="9" t="s">
        <v>33</v>
      </c>
      <c r="C77" s="10" t="n">
        <v>45636</v>
      </c>
      <c r="D77" s="10" t="n">
        <v>45694</v>
      </c>
      <c r="E77" s="10" t="n">
        <v>45751</v>
      </c>
      <c r="F77" s="10" t="n">
        <v>45925</v>
      </c>
      <c r="G77" s="11"/>
      <c r="H77" s="11"/>
      <c r="I77" s="11" t="s">
        <v>34</v>
      </c>
      <c r="J77" s="11"/>
      <c r="K77" s="11"/>
      <c r="L77" s="11" t="s">
        <v>218</v>
      </c>
      <c r="M77" s="11" t="s">
        <v>240</v>
      </c>
      <c r="N77" s="11" t="s">
        <v>241</v>
      </c>
      <c r="O77" s="11"/>
      <c r="P77" s="11"/>
      <c r="Q77" s="11"/>
      <c r="R77" s="11"/>
      <c r="S77" s="11"/>
      <c r="T77" s="12" t="n">
        <v>1184767.22</v>
      </c>
      <c r="U77" s="13" t="s">
        <v>242</v>
      </c>
      <c r="V77" s="14" t="n">
        <v>9646515487</v>
      </c>
      <c r="W77" s="13" t="s">
        <v>243</v>
      </c>
    </row>
    <row r="78" customFormat="false" ht="15" hidden="false" customHeight="false" outlineLevel="0" collapsed="false">
      <c r="A78" s="9" t="s">
        <v>244</v>
      </c>
      <c r="B78" s="9"/>
      <c r="C78" s="10" t="n">
        <v>45849</v>
      </c>
      <c r="D78" s="10" t="n">
        <v>45856</v>
      </c>
      <c r="E78" s="10" t="n">
        <v>45869</v>
      </c>
      <c r="F78" s="10" t="n">
        <v>45901</v>
      </c>
      <c r="G78" s="11"/>
      <c r="H78" s="11"/>
      <c r="I78" s="11"/>
      <c r="J78" s="11"/>
      <c r="K78" s="11"/>
      <c r="L78" s="11" t="s">
        <v>28</v>
      </c>
      <c r="M78" s="15" t="s">
        <v>245</v>
      </c>
      <c r="N78" s="11"/>
      <c r="O78" s="11"/>
      <c r="P78" s="10" t="n">
        <v>45887</v>
      </c>
      <c r="Q78" s="11" t="s">
        <v>40</v>
      </c>
      <c r="R78" s="11"/>
      <c r="S78" s="11"/>
      <c r="T78" s="12"/>
      <c r="U78" s="13" t="s">
        <v>246</v>
      </c>
      <c r="V78" s="14" t="n">
        <v>79149847449</v>
      </c>
      <c r="W78" s="13"/>
    </row>
    <row r="79" customFormat="false" ht="15" hidden="false" customHeight="false" outlineLevel="0" collapsed="false">
      <c r="A79" s="9" t="s">
        <v>247</v>
      </c>
      <c r="B79" s="9"/>
      <c r="C79" s="10" t="n">
        <v>45821</v>
      </c>
      <c r="D79" s="10" t="n">
        <v>45826</v>
      </c>
      <c r="E79" s="10" t="n">
        <v>45838</v>
      </c>
      <c r="F79" s="10"/>
      <c r="G79" s="11"/>
      <c r="H79" s="11"/>
      <c r="I79" s="11"/>
      <c r="J79" s="11"/>
      <c r="K79" s="11"/>
      <c r="L79" s="11" t="s">
        <v>24</v>
      </c>
      <c r="M79" s="11" t="s">
        <v>25</v>
      </c>
      <c r="N79" s="11"/>
      <c r="O79" s="11"/>
      <c r="P79" s="11"/>
      <c r="Q79" s="11"/>
      <c r="R79" s="11"/>
      <c r="S79" s="11"/>
      <c r="T79" s="12" t="n">
        <v>15000</v>
      </c>
      <c r="U79" s="13" t="s">
        <v>248</v>
      </c>
      <c r="V79" s="14" t="n">
        <v>24189154415</v>
      </c>
      <c r="W79" s="13"/>
    </row>
    <row r="80" s="28" customFormat="true" ht="15" hidden="false" customHeight="false" outlineLevel="0" collapsed="false">
      <c r="A80" s="19" t="s">
        <v>249</v>
      </c>
      <c r="B80" s="19"/>
      <c r="C80" s="20" t="n">
        <v>45604</v>
      </c>
      <c r="D80" s="20" t="n">
        <v>45625</v>
      </c>
      <c r="E80" s="20" t="n">
        <v>45646</v>
      </c>
      <c r="F80" s="20" t="n">
        <v>45751</v>
      </c>
      <c r="G80" s="21"/>
      <c r="H80" s="21"/>
      <c r="I80" s="21" t="s">
        <v>34</v>
      </c>
      <c r="J80" s="21"/>
      <c r="K80" s="21" t="s">
        <v>34</v>
      </c>
      <c r="L80" s="21" t="s">
        <v>218</v>
      </c>
      <c r="M80" s="21" t="s">
        <v>250</v>
      </c>
      <c r="N80" s="21"/>
      <c r="O80" s="21"/>
      <c r="P80" s="21"/>
      <c r="Q80" s="21"/>
      <c r="R80" s="21"/>
      <c r="S80" s="21"/>
      <c r="T80" s="23" t="n">
        <v>55600</v>
      </c>
      <c r="U80" s="24" t="s">
        <v>251</v>
      </c>
      <c r="V80" s="25" t="n">
        <v>834517493</v>
      </c>
      <c r="W80" s="24" t="s">
        <v>252</v>
      </c>
    </row>
    <row r="81" customFormat="false" ht="15" hidden="false" customHeight="false" outlineLevel="0" collapsed="false">
      <c r="A81" s="30" t="s">
        <v>253</v>
      </c>
      <c r="B81" s="9"/>
      <c r="C81" s="10" t="n">
        <v>45632</v>
      </c>
      <c r="D81" s="10" t="n">
        <v>45642</v>
      </c>
      <c r="E81" s="10" t="n">
        <v>45685</v>
      </c>
      <c r="F81" s="10" t="n">
        <v>45708</v>
      </c>
      <c r="G81" s="10"/>
      <c r="H81" s="10"/>
      <c r="I81" s="11" t="s">
        <v>34</v>
      </c>
      <c r="J81" s="11"/>
      <c r="K81" s="11"/>
      <c r="L81" s="11" t="s">
        <v>24</v>
      </c>
      <c r="M81" s="11" t="s">
        <v>126</v>
      </c>
      <c r="N81" s="11"/>
      <c r="O81" s="11"/>
      <c r="P81" s="11"/>
      <c r="Q81" s="11"/>
      <c r="R81" s="11"/>
      <c r="S81" s="11"/>
      <c r="T81" s="12" t="n">
        <v>31500</v>
      </c>
      <c r="U81" s="13" t="s">
        <v>254</v>
      </c>
      <c r="V81" s="14" t="n">
        <v>13070231420</v>
      </c>
      <c r="W81" s="13" t="s">
        <v>255</v>
      </c>
    </row>
    <row r="82" customFormat="false" ht="15" hidden="false" customHeight="false" outlineLevel="0" collapsed="false">
      <c r="A82" s="27" t="s">
        <v>180</v>
      </c>
      <c r="B82" s="9"/>
      <c r="C82" s="10" t="n">
        <v>45728</v>
      </c>
      <c r="D82" s="10" t="n">
        <v>45736</v>
      </c>
      <c r="E82" s="10" t="n">
        <v>45748</v>
      </c>
      <c r="F82" s="10"/>
      <c r="G82" s="11"/>
      <c r="H82" s="11"/>
      <c r="I82" s="11"/>
      <c r="J82" s="11"/>
      <c r="K82" s="11"/>
      <c r="L82" s="11" t="s">
        <v>28</v>
      </c>
      <c r="M82" s="15" t="s">
        <v>256</v>
      </c>
      <c r="N82" s="11"/>
      <c r="O82" s="11"/>
      <c r="P82" s="11"/>
      <c r="Q82" s="11"/>
      <c r="R82" s="11"/>
      <c r="S82" s="11"/>
      <c r="T82" s="12" t="n">
        <v>7227.2</v>
      </c>
      <c r="U82" s="13" t="s">
        <v>257</v>
      </c>
      <c r="V82" s="14" t="n">
        <v>64275574400</v>
      </c>
      <c r="W82" s="13"/>
      <c r="X82" s="28"/>
    </row>
    <row r="83" customFormat="false" ht="15" hidden="false" customHeight="false" outlineLevel="0" collapsed="false">
      <c r="A83" s="9" t="s">
        <v>258</v>
      </c>
      <c r="B83" s="9"/>
      <c r="C83" s="10" t="n">
        <v>45849</v>
      </c>
      <c r="D83" s="10" t="n">
        <v>45856</v>
      </c>
      <c r="E83" s="10" t="n">
        <v>45869</v>
      </c>
      <c r="F83" s="10" t="n">
        <v>45882</v>
      </c>
      <c r="G83" s="11"/>
      <c r="H83" s="11"/>
      <c r="I83" s="11"/>
      <c r="J83" s="11"/>
      <c r="K83" s="11"/>
      <c r="L83" s="11" t="s">
        <v>28</v>
      </c>
      <c r="M83" s="15" t="s">
        <v>259</v>
      </c>
      <c r="N83" s="11"/>
      <c r="O83" s="11"/>
      <c r="P83" s="10" t="n">
        <v>45877</v>
      </c>
      <c r="Q83" s="11" t="s">
        <v>51</v>
      </c>
      <c r="R83" s="11"/>
      <c r="S83" s="11"/>
      <c r="T83" s="12" t="n">
        <v>2000</v>
      </c>
      <c r="U83" s="13" t="s">
        <v>260</v>
      </c>
      <c r="V83" s="14" t="n">
        <v>40647943468</v>
      </c>
      <c r="W83" s="13"/>
    </row>
    <row r="84" customFormat="false" ht="15" hidden="false" customHeight="false" outlineLevel="0" collapsed="false">
      <c r="A84" s="9" t="s">
        <v>261</v>
      </c>
      <c r="B84" s="9"/>
      <c r="C84" s="10" t="n">
        <v>45625</v>
      </c>
      <c r="D84" s="10" t="n">
        <v>45635</v>
      </c>
      <c r="E84" s="10" t="n">
        <v>45649</v>
      </c>
      <c r="F84" s="11"/>
      <c r="G84" s="10" t="n">
        <v>45792</v>
      </c>
      <c r="H84" s="10" t="n">
        <v>45805</v>
      </c>
      <c r="I84" s="11"/>
      <c r="J84" s="11"/>
      <c r="K84" s="11"/>
      <c r="L84" s="11" t="s">
        <v>28</v>
      </c>
      <c r="M84" s="15" t="s">
        <v>262</v>
      </c>
      <c r="N84" s="11"/>
      <c r="O84" s="11"/>
      <c r="P84" s="11"/>
      <c r="Q84" s="11"/>
      <c r="R84" s="11"/>
      <c r="S84" s="11"/>
      <c r="T84" s="12" t="n">
        <v>4100</v>
      </c>
      <c r="U84" s="13" t="s">
        <v>263</v>
      </c>
      <c r="V84" s="14" t="n">
        <v>29300388886</v>
      </c>
      <c r="W84" s="13"/>
    </row>
    <row r="85" customFormat="false" ht="15" hidden="false" customHeight="false" outlineLevel="0" collapsed="false">
      <c r="A85" s="9" t="s">
        <v>264</v>
      </c>
      <c r="B85" s="9"/>
      <c r="C85" s="10" t="n">
        <v>45672</v>
      </c>
      <c r="D85" s="10" t="n">
        <v>45694</v>
      </c>
      <c r="E85" s="10" t="n">
        <v>45702</v>
      </c>
      <c r="F85" s="10"/>
      <c r="G85" s="11"/>
      <c r="H85" s="11"/>
      <c r="I85" s="11"/>
      <c r="J85" s="11"/>
      <c r="K85" s="11"/>
      <c r="L85" s="11" t="s">
        <v>24</v>
      </c>
      <c r="M85" s="11" t="s">
        <v>25</v>
      </c>
      <c r="N85" s="11"/>
      <c r="O85" s="11"/>
      <c r="P85" s="10" t="n">
        <v>45702</v>
      </c>
      <c r="Q85" s="11" t="s">
        <v>40</v>
      </c>
      <c r="R85" s="11"/>
      <c r="S85" s="11"/>
      <c r="T85" s="12" t="n">
        <v>5000</v>
      </c>
      <c r="U85" s="13" t="s">
        <v>265</v>
      </c>
      <c r="V85" s="14" t="n">
        <v>1994956453</v>
      </c>
      <c r="W85" s="13"/>
    </row>
    <row r="86" customFormat="false" ht="15" hidden="false" customHeight="false" outlineLevel="0" collapsed="false">
      <c r="A86" s="9" t="s">
        <v>266</v>
      </c>
      <c r="B86" s="9"/>
      <c r="C86" s="10" t="n">
        <v>45726</v>
      </c>
      <c r="D86" s="10" t="n">
        <v>45728</v>
      </c>
      <c r="E86" s="10" t="n">
        <v>45735</v>
      </c>
      <c r="F86" s="10"/>
      <c r="G86" s="11"/>
      <c r="H86" s="11"/>
      <c r="I86" s="11"/>
      <c r="J86" s="11"/>
      <c r="K86" s="11"/>
      <c r="L86" s="11" t="s">
        <v>28</v>
      </c>
      <c r="M86" s="15" t="s">
        <v>267</v>
      </c>
      <c r="N86" s="11"/>
      <c r="O86" s="11"/>
      <c r="P86" s="11"/>
      <c r="Q86" s="11"/>
      <c r="R86" s="11"/>
      <c r="S86" s="11"/>
      <c r="T86" s="12" t="n">
        <v>9100</v>
      </c>
      <c r="U86" s="13" t="s">
        <v>268</v>
      </c>
      <c r="V86" s="14" t="n">
        <v>9954393463</v>
      </c>
      <c r="W86" s="13" t="s">
        <v>269</v>
      </c>
    </row>
    <row r="87" customFormat="false" ht="15" hidden="false" customHeight="false" outlineLevel="0" collapsed="false">
      <c r="A87" s="9" t="s">
        <v>270</v>
      </c>
      <c r="B87" s="9"/>
      <c r="C87" s="10" t="n">
        <v>45726</v>
      </c>
      <c r="D87" s="10" t="n">
        <v>45728</v>
      </c>
      <c r="E87" s="10" t="n">
        <v>45735</v>
      </c>
      <c r="F87" s="10"/>
      <c r="G87" s="11"/>
      <c r="H87" s="11"/>
      <c r="I87" s="11"/>
      <c r="J87" s="11"/>
      <c r="K87" s="11"/>
      <c r="L87" s="11" t="s">
        <v>28</v>
      </c>
      <c r="M87" s="15" t="s">
        <v>267</v>
      </c>
      <c r="N87" s="11"/>
      <c r="O87" s="11"/>
      <c r="P87" s="11"/>
      <c r="Q87" s="11"/>
      <c r="R87" s="11"/>
      <c r="S87" s="11"/>
      <c r="T87" s="12" t="n">
        <v>4350</v>
      </c>
      <c r="U87" s="13" t="s">
        <v>268</v>
      </c>
      <c r="V87" s="14" t="n">
        <v>9954393463</v>
      </c>
      <c r="W87" s="13" t="s">
        <v>269</v>
      </c>
    </row>
    <row r="88" customFormat="false" ht="15" hidden="false" customHeight="false" outlineLevel="0" collapsed="false">
      <c r="A88" s="9" t="s">
        <v>271</v>
      </c>
      <c r="B88" s="9"/>
      <c r="C88" s="10" t="n">
        <v>45726</v>
      </c>
      <c r="D88" s="10" t="n">
        <v>45728</v>
      </c>
      <c r="E88" s="10" t="n">
        <v>45735</v>
      </c>
      <c r="F88" s="10"/>
      <c r="G88" s="10" t="n">
        <v>45817</v>
      </c>
      <c r="H88" s="10" t="n">
        <v>45832</v>
      </c>
      <c r="I88" s="11"/>
      <c r="J88" s="11"/>
      <c r="K88" s="11"/>
      <c r="L88" s="11" t="s">
        <v>28</v>
      </c>
      <c r="M88" s="11" t="s">
        <v>267</v>
      </c>
      <c r="N88" s="11"/>
      <c r="O88" s="11"/>
      <c r="P88" s="10" t="n">
        <v>45870</v>
      </c>
      <c r="Q88" s="11" t="s">
        <v>40</v>
      </c>
      <c r="R88" s="11"/>
      <c r="S88" s="11"/>
      <c r="T88" s="12" t="n">
        <v>19100</v>
      </c>
      <c r="U88" s="13" t="s">
        <v>268</v>
      </c>
      <c r="V88" s="14" t="n">
        <v>9954393463</v>
      </c>
      <c r="W88" s="13"/>
    </row>
    <row r="89" customFormat="false" ht="15" hidden="false" customHeight="false" outlineLevel="0" collapsed="false">
      <c r="A89" s="19" t="s">
        <v>272</v>
      </c>
      <c r="B89" s="19"/>
      <c r="C89" s="20" t="n">
        <v>45784</v>
      </c>
      <c r="D89" s="20" t="n">
        <v>45790</v>
      </c>
      <c r="E89" s="20" t="n">
        <v>45804</v>
      </c>
      <c r="F89" s="20" t="n">
        <v>45831</v>
      </c>
      <c r="G89" s="21"/>
      <c r="H89" s="21"/>
      <c r="I89" s="21"/>
      <c r="J89" s="21"/>
      <c r="K89" s="21"/>
      <c r="L89" s="21" t="s">
        <v>28</v>
      </c>
      <c r="M89" s="22" t="s">
        <v>273</v>
      </c>
      <c r="N89" s="21"/>
      <c r="O89" s="21"/>
      <c r="P89" s="21"/>
      <c r="Q89" s="21"/>
      <c r="R89" s="21"/>
      <c r="S89" s="21"/>
      <c r="T89" s="23" t="n">
        <v>53184.93</v>
      </c>
      <c r="U89" s="24" t="s">
        <v>274</v>
      </c>
      <c r="V89" s="25" t="n">
        <v>42279968487</v>
      </c>
      <c r="W89" s="24" t="s">
        <v>275</v>
      </c>
      <c r="X89" s="28"/>
    </row>
    <row r="90" customFormat="false" ht="15" hidden="false" customHeight="false" outlineLevel="0" collapsed="false">
      <c r="A90" s="27" t="s">
        <v>184</v>
      </c>
      <c r="B90" s="9"/>
      <c r="C90" s="10" t="n">
        <v>45793</v>
      </c>
      <c r="D90" s="10" t="n">
        <v>45811</v>
      </c>
      <c r="E90" s="10" t="n">
        <v>45824</v>
      </c>
      <c r="F90" s="10"/>
      <c r="G90" s="11"/>
      <c r="H90" s="11"/>
      <c r="I90" s="11"/>
      <c r="J90" s="11"/>
      <c r="K90" s="11"/>
      <c r="L90" s="11" t="s">
        <v>24</v>
      </c>
      <c r="M90" s="11" t="s">
        <v>25</v>
      </c>
      <c r="N90" s="11"/>
      <c r="O90" s="11"/>
      <c r="P90" s="11"/>
      <c r="Q90" s="11"/>
      <c r="R90" s="11"/>
      <c r="S90" s="11"/>
      <c r="T90" s="12" t="n">
        <v>7700</v>
      </c>
      <c r="U90" s="13" t="s">
        <v>276</v>
      </c>
      <c r="V90" s="14" t="n">
        <v>2600404449</v>
      </c>
      <c r="W90" s="13"/>
    </row>
    <row r="91" customFormat="false" ht="15" hidden="false" customHeight="false" outlineLevel="0" collapsed="false">
      <c r="A91" s="9" t="s">
        <v>277</v>
      </c>
      <c r="B91" s="9"/>
      <c r="C91" s="10" t="n">
        <v>45784</v>
      </c>
      <c r="D91" s="10" t="n">
        <v>45790</v>
      </c>
      <c r="E91" s="10" t="n">
        <v>45798</v>
      </c>
      <c r="F91" s="10"/>
      <c r="G91" s="11"/>
      <c r="H91" s="11"/>
      <c r="I91" s="11"/>
      <c r="J91" s="11"/>
      <c r="K91" s="11"/>
      <c r="L91" s="11" t="s">
        <v>24</v>
      </c>
      <c r="M91" s="11" t="s">
        <v>173</v>
      </c>
      <c r="N91" s="11"/>
      <c r="O91" s="11"/>
      <c r="P91" s="11"/>
      <c r="Q91" s="11"/>
      <c r="R91" s="11"/>
      <c r="S91" s="11"/>
      <c r="T91" s="12" t="n">
        <v>8150</v>
      </c>
      <c r="U91" s="13" t="s">
        <v>278</v>
      </c>
      <c r="V91" s="14" t="n">
        <v>2289862495</v>
      </c>
      <c r="W91" s="13"/>
    </row>
    <row r="92" customFormat="false" ht="15" hidden="false" customHeight="false" outlineLevel="0" collapsed="false">
      <c r="A92" s="9" t="s">
        <v>277</v>
      </c>
      <c r="B92" s="9"/>
      <c r="C92" s="10" t="n">
        <v>45784</v>
      </c>
      <c r="D92" s="10" t="n">
        <v>45790</v>
      </c>
      <c r="E92" s="10" t="n">
        <v>45798</v>
      </c>
      <c r="F92" s="10"/>
      <c r="G92" s="11"/>
      <c r="H92" s="11"/>
      <c r="I92" s="11"/>
      <c r="J92" s="11"/>
      <c r="K92" s="11"/>
      <c r="L92" s="11" t="s">
        <v>24</v>
      </c>
      <c r="M92" s="11" t="s">
        <v>279</v>
      </c>
      <c r="N92" s="11"/>
      <c r="O92" s="11"/>
      <c r="P92" s="10"/>
      <c r="Q92" s="11"/>
      <c r="R92" s="11"/>
      <c r="S92" s="11"/>
      <c r="T92" s="12" t="n">
        <v>8150</v>
      </c>
      <c r="U92" s="13" t="s">
        <v>278</v>
      </c>
      <c r="V92" s="14" t="n">
        <v>2289862495</v>
      </c>
      <c r="W92" s="13"/>
    </row>
    <row r="93" customFormat="false" ht="15" hidden="false" customHeight="false" outlineLevel="0" collapsed="false">
      <c r="A93" s="9" t="s">
        <v>280</v>
      </c>
      <c r="B93" s="9"/>
      <c r="C93" s="10" t="n">
        <v>45821</v>
      </c>
      <c r="D93" s="10" t="n">
        <v>45826</v>
      </c>
      <c r="E93" s="10"/>
      <c r="F93" s="10"/>
      <c r="G93" s="11"/>
      <c r="H93" s="11"/>
      <c r="I93" s="11"/>
      <c r="J93" s="11"/>
      <c r="K93" s="11"/>
      <c r="L93" s="11" t="s">
        <v>28</v>
      </c>
      <c r="M93" s="15" t="s">
        <v>281</v>
      </c>
      <c r="N93" s="11"/>
      <c r="O93" s="11"/>
      <c r="P93" s="10" t="n">
        <v>45861</v>
      </c>
      <c r="Q93" s="11" t="s">
        <v>51</v>
      </c>
      <c r="R93" s="11"/>
      <c r="S93" s="11"/>
      <c r="T93" s="12" t="n">
        <v>1912.35</v>
      </c>
      <c r="U93" s="13" t="s">
        <v>282</v>
      </c>
      <c r="V93" s="14" t="n">
        <v>48148750459</v>
      </c>
      <c r="W93" s="13"/>
    </row>
    <row r="94" customFormat="false" ht="15" hidden="false" customHeight="false" outlineLevel="0" collapsed="false">
      <c r="A94" s="9" t="s">
        <v>283</v>
      </c>
      <c r="B94" s="9"/>
      <c r="C94" s="10" t="n">
        <v>45784</v>
      </c>
      <c r="D94" s="10" t="n">
        <v>45790</v>
      </c>
      <c r="E94" s="10" t="n">
        <v>45817</v>
      </c>
      <c r="F94" s="10" t="n">
        <v>45884</v>
      </c>
      <c r="G94" s="11"/>
      <c r="H94" s="11"/>
      <c r="I94" s="11"/>
      <c r="J94" s="11"/>
      <c r="K94" s="11"/>
      <c r="L94" s="11" t="s">
        <v>28</v>
      </c>
      <c r="M94" s="15" t="s">
        <v>281</v>
      </c>
      <c r="N94" s="11"/>
      <c r="O94" s="11"/>
      <c r="P94" s="10" t="n">
        <v>45884</v>
      </c>
      <c r="Q94" s="11" t="s">
        <v>51</v>
      </c>
      <c r="R94" s="11"/>
      <c r="S94" s="11"/>
      <c r="T94" s="12" t="n">
        <v>3211.38</v>
      </c>
      <c r="U94" s="13" t="s">
        <v>282</v>
      </c>
      <c r="V94" s="14" t="n">
        <v>48148750459</v>
      </c>
      <c r="W94" s="13"/>
    </row>
    <row r="95" customFormat="false" ht="15" hidden="false" customHeight="false" outlineLevel="0" collapsed="false">
      <c r="A95" s="9" t="s">
        <v>284</v>
      </c>
      <c r="B95" s="9"/>
      <c r="C95" s="10" t="n">
        <v>45849</v>
      </c>
      <c r="D95" s="10" t="n">
        <v>45856</v>
      </c>
      <c r="E95" s="10" t="n">
        <v>45870</v>
      </c>
      <c r="F95" s="10"/>
      <c r="G95" s="11"/>
      <c r="H95" s="11"/>
      <c r="I95" s="11"/>
      <c r="J95" s="11"/>
      <c r="K95" s="11"/>
      <c r="L95" s="11" t="s">
        <v>28</v>
      </c>
      <c r="M95" s="15" t="s">
        <v>285</v>
      </c>
      <c r="N95" s="11"/>
      <c r="O95" s="11"/>
      <c r="P95" s="10" t="n">
        <v>45931</v>
      </c>
      <c r="Q95" s="11" t="s">
        <v>40</v>
      </c>
      <c r="R95" s="11"/>
      <c r="S95" s="11"/>
      <c r="T95" s="12" t="n">
        <v>22399.99</v>
      </c>
      <c r="U95" s="13" t="s">
        <v>282</v>
      </c>
      <c r="V95" s="14" t="n">
        <v>48148750459</v>
      </c>
      <c r="W95" s="13"/>
    </row>
    <row r="96" customFormat="false" ht="15" hidden="false" customHeight="false" outlineLevel="0" collapsed="false">
      <c r="A96" s="9" t="s">
        <v>286</v>
      </c>
      <c r="B96" s="9"/>
      <c r="C96" s="10" t="n">
        <v>45624</v>
      </c>
      <c r="D96" s="10" t="n">
        <v>45635</v>
      </c>
      <c r="E96" s="10" t="s">
        <v>287</v>
      </c>
      <c r="F96" s="11"/>
      <c r="G96" s="10" t="n">
        <v>45681</v>
      </c>
      <c r="H96" s="10" t="n">
        <v>45735</v>
      </c>
      <c r="I96" s="11"/>
      <c r="J96" s="11"/>
      <c r="K96" s="11"/>
      <c r="L96" s="11" t="s">
        <v>28</v>
      </c>
      <c r="M96" s="15" t="s">
        <v>288</v>
      </c>
      <c r="N96" s="11"/>
      <c r="O96" s="11"/>
      <c r="P96" s="11"/>
      <c r="Q96" s="11"/>
      <c r="R96" s="11"/>
      <c r="S96" s="11"/>
      <c r="T96" s="12" t="n">
        <v>48480</v>
      </c>
      <c r="U96" s="13" t="s">
        <v>289</v>
      </c>
      <c r="V96" s="14" t="n">
        <v>14903733491</v>
      </c>
      <c r="W96" s="13"/>
    </row>
    <row r="97" customFormat="false" ht="15" hidden="false" customHeight="false" outlineLevel="0" collapsed="false">
      <c r="A97" s="9" t="s">
        <v>290</v>
      </c>
      <c r="B97" s="9"/>
      <c r="C97" s="10" t="n">
        <v>45608</v>
      </c>
      <c r="D97" s="10" t="n">
        <v>45622</v>
      </c>
      <c r="E97" s="10" t="n">
        <v>45636</v>
      </c>
      <c r="F97" s="11"/>
      <c r="G97" s="11"/>
      <c r="H97" s="11"/>
      <c r="I97" s="11"/>
      <c r="J97" s="11"/>
      <c r="K97" s="11"/>
      <c r="L97" s="11" t="s">
        <v>28</v>
      </c>
      <c r="M97" s="15" t="s">
        <v>291</v>
      </c>
      <c r="N97" s="11"/>
      <c r="O97" s="11"/>
      <c r="P97" s="10" t="n">
        <v>45778</v>
      </c>
      <c r="Q97" s="11" t="s">
        <v>40</v>
      </c>
      <c r="R97" s="11"/>
      <c r="S97" s="11"/>
      <c r="T97" s="12" t="n">
        <v>28800</v>
      </c>
      <c r="U97" s="13" t="s">
        <v>292</v>
      </c>
      <c r="V97" s="14" t="n">
        <v>5559622451</v>
      </c>
      <c r="W97" s="13"/>
    </row>
    <row r="98" customFormat="false" ht="15" hidden="false" customHeight="false" outlineLevel="0" collapsed="false">
      <c r="A98" s="26" t="s">
        <v>293</v>
      </c>
      <c r="B98" s="26"/>
      <c r="C98" s="10" t="n">
        <v>45615</v>
      </c>
      <c r="D98" s="10" t="n">
        <v>45625</v>
      </c>
      <c r="E98" s="10" t="n">
        <v>45638</v>
      </c>
      <c r="F98" s="11"/>
      <c r="G98" s="11"/>
      <c r="H98" s="11"/>
      <c r="I98" s="11"/>
      <c r="J98" s="11"/>
      <c r="K98" s="11"/>
      <c r="L98" s="11" t="s">
        <v>28</v>
      </c>
      <c r="M98" s="15" t="s">
        <v>294</v>
      </c>
      <c r="N98" s="11"/>
      <c r="O98" s="11"/>
      <c r="P98" s="11"/>
      <c r="Q98" s="11"/>
      <c r="R98" s="11"/>
      <c r="S98" s="11"/>
      <c r="T98" s="12" t="n">
        <v>3000</v>
      </c>
      <c r="U98" s="13" t="s">
        <v>295</v>
      </c>
      <c r="V98" s="14" t="n">
        <v>1673675441</v>
      </c>
      <c r="W98" s="13" t="s">
        <v>70</v>
      </c>
    </row>
    <row r="99" customFormat="false" ht="15" hidden="false" customHeight="false" outlineLevel="0" collapsed="false">
      <c r="A99" s="9" t="s">
        <v>296</v>
      </c>
      <c r="B99" s="9"/>
      <c r="C99" s="10" t="n">
        <v>45679</v>
      </c>
      <c r="D99" s="10" t="n">
        <v>45694</v>
      </c>
      <c r="E99" s="10" t="n">
        <v>45702</v>
      </c>
      <c r="F99" s="10"/>
      <c r="G99" s="11"/>
      <c r="H99" s="11"/>
      <c r="I99" s="11"/>
      <c r="J99" s="11"/>
      <c r="K99" s="11"/>
      <c r="L99" s="11" t="s">
        <v>24</v>
      </c>
      <c r="M99" s="11" t="s">
        <v>25</v>
      </c>
      <c r="N99" s="11"/>
      <c r="O99" s="11"/>
      <c r="P99" s="11"/>
      <c r="Q99" s="11"/>
      <c r="R99" s="11"/>
      <c r="S99" s="11"/>
      <c r="T99" s="12" t="n">
        <v>5000</v>
      </c>
      <c r="U99" s="13" t="s">
        <v>297</v>
      </c>
      <c r="V99" s="14" t="n">
        <v>8548536420</v>
      </c>
      <c r="W99" s="13"/>
    </row>
    <row r="100" customFormat="false" ht="15" hidden="false" customHeight="false" outlineLevel="0" collapsed="false">
      <c r="A100" s="9" t="s">
        <v>298</v>
      </c>
      <c r="B100" s="9" t="s">
        <v>33</v>
      </c>
      <c r="C100" s="10" t="n">
        <v>45632</v>
      </c>
      <c r="D100" s="10" t="n">
        <v>45642</v>
      </c>
      <c r="E100" s="10" t="n">
        <v>45670</v>
      </c>
      <c r="F100" s="10" t="n">
        <v>45733</v>
      </c>
      <c r="G100" s="11"/>
      <c r="H100" s="11"/>
      <c r="I100" s="11" t="s">
        <v>34</v>
      </c>
      <c r="J100" s="11"/>
      <c r="K100" s="11"/>
      <c r="L100" s="11" t="s">
        <v>24</v>
      </c>
      <c r="M100" s="11" t="s">
        <v>25</v>
      </c>
      <c r="N100" s="11"/>
      <c r="O100" s="11" t="s">
        <v>34</v>
      </c>
      <c r="P100" s="11"/>
      <c r="Q100" s="11"/>
      <c r="R100" s="11"/>
      <c r="S100" s="11"/>
      <c r="T100" s="12" t="n">
        <v>3300</v>
      </c>
      <c r="U100" s="13" t="s">
        <v>299</v>
      </c>
      <c r="V100" s="14" t="n">
        <v>8548536420</v>
      </c>
      <c r="W100" s="13"/>
    </row>
    <row r="101" customFormat="false" ht="15" hidden="false" customHeight="false" outlineLevel="0" collapsed="false">
      <c r="A101" s="9" t="s">
        <v>300</v>
      </c>
      <c r="B101" s="9" t="s">
        <v>33</v>
      </c>
      <c r="C101" s="10" t="n">
        <v>45848</v>
      </c>
      <c r="D101" s="10" t="n">
        <v>45854</v>
      </c>
      <c r="E101" s="10" t="n">
        <v>45862</v>
      </c>
      <c r="F101" s="10" t="n">
        <v>45932</v>
      </c>
      <c r="G101" s="11"/>
      <c r="H101" s="11"/>
      <c r="I101" s="11" t="s">
        <v>34</v>
      </c>
      <c r="J101" s="11"/>
      <c r="K101" s="11"/>
      <c r="L101" s="11" t="s">
        <v>28</v>
      </c>
      <c r="M101" s="15" t="s">
        <v>301</v>
      </c>
      <c r="N101" s="11"/>
      <c r="O101" s="11"/>
      <c r="P101" s="11"/>
      <c r="Q101" s="11"/>
      <c r="R101" s="11"/>
      <c r="S101" s="11"/>
      <c r="T101" s="12" t="n">
        <v>5632.35</v>
      </c>
      <c r="U101" s="13" t="s">
        <v>302</v>
      </c>
      <c r="V101" s="14" t="n">
        <v>59682574404</v>
      </c>
      <c r="W101" s="13"/>
    </row>
    <row r="102" customFormat="false" ht="15" hidden="false" customHeight="false" outlineLevel="0" collapsed="false">
      <c r="A102" s="9" t="s">
        <v>303</v>
      </c>
      <c r="B102" s="9"/>
      <c r="C102" s="10" t="n">
        <v>45615</v>
      </c>
      <c r="D102" s="10" t="n">
        <v>45625</v>
      </c>
      <c r="E102" s="10" t="n">
        <v>45637</v>
      </c>
      <c r="F102" s="10" t="n">
        <v>45673</v>
      </c>
      <c r="G102" s="10"/>
      <c r="H102" s="10"/>
      <c r="I102" s="11"/>
      <c r="J102" s="11"/>
      <c r="K102" s="11"/>
      <c r="L102" s="11" t="s">
        <v>28</v>
      </c>
      <c r="M102" s="15" t="s">
        <v>304</v>
      </c>
      <c r="N102" s="11"/>
      <c r="O102" s="11"/>
      <c r="P102" s="10" t="n">
        <v>45677</v>
      </c>
      <c r="Q102" s="11" t="s">
        <v>51</v>
      </c>
      <c r="R102" s="11"/>
      <c r="S102" s="11"/>
      <c r="T102" s="12" t="n">
        <v>5000</v>
      </c>
      <c r="U102" s="13" t="s">
        <v>305</v>
      </c>
      <c r="V102" s="14" t="n">
        <v>82484856172</v>
      </c>
      <c r="W102" s="13" t="s">
        <v>306</v>
      </c>
    </row>
    <row r="103" customFormat="false" ht="15" hidden="false" customHeight="false" outlineLevel="0" collapsed="false">
      <c r="A103" s="9" t="s">
        <v>307</v>
      </c>
      <c r="B103" s="9"/>
      <c r="C103" s="10" t="n">
        <v>45840</v>
      </c>
      <c r="D103" s="10" t="n">
        <v>45852</v>
      </c>
      <c r="E103" s="10"/>
      <c r="F103" s="11"/>
      <c r="G103" s="11"/>
      <c r="H103" s="11"/>
      <c r="I103" s="11"/>
      <c r="J103" s="11"/>
      <c r="K103" s="11"/>
      <c r="L103" s="11" t="s">
        <v>28</v>
      </c>
      <c r="M103" s="15" t="s">
        <v>308</v>
      </c>
      <c r="N103" s="11"/>
      <c r="O103" s="11"/>
      <c r="P103" s="11"/>
      <c r="Q103" s="11"/>
      <c r="R103" s="11"/>
      <c r="S103" s="11"/>
      <c r="T103" s="12" t="n">
        <v>982.98</v>
      </c>
      <c r="U103" s="13" t="s">
        <v>305</v>
      </c>
      <c r="V103" s="14" t="n">
        <v>82484856172</v>
      </c>
      <c r="W103" s="13"/>
    </row>
    <row r="104" customFormat="false" ht="15" hidden="false" customHeight="false" outlineLevel="0" collapsed="false">
      <c r="A104" s="27" t="s">
        <v>309</v>
      </c>
      <c r="B104" s="9"/>
      <c r="C104" s="10" t="n">
        <v>45674</v>
      </c>
      <c r="D104" s="10" t="n">
        <v>45687</v>
      </c>
      <c r="E104" s="10" t="n">
        <v>45699</v>
      </c>
      <c r="F104" s="10"/>
      <c r="G104" s="10" t="n">
        <v>45800</v>
      </c>
      <c r="H104" s="10" t="n">
        <v>45818</v>
      </c>
      <c r="I104" s="11"/>
      <c r="J104" s="11"/>
      <c r="K104" s="11"/>
      <c r="L104" s="11" t="s">
        <v>28</v>
      </c>
      <c r="M104" s="15" t="s">
        <v>304</v>
      </c>
      <c r="N104" s="11"/>
      <c r="O104" s="11"/>
      <c r="P104" s="11"/>
      <c r="Q104" s="11"/>
      <c r="R104" s="11"/>
      <c r="S104" s="11"/>
      <c r="T104" s="12" t="n">
        <v>4816.44</v>
      </c>
      <c r="U104" s="13" t="s">
        <v>305</v>
      </c>
      <c r="V104" s="14" t="n">
        <v>82484856172</v>
      </c>
      <c r="W104" s="13"/>
    </row>
    <row r="105" customFormat="false" ht="15" hidden="false" customHeight="false" outlineLevel="0" collapsed="false">
      <c r="A105" s="9" t="s">
        <v>310</v>
      </c>
      <c r="B105" s="9"/>
      <c r="C105" s="10" t="n">
        <v>45728</v>
      </c>
      <c r="D105" s="10" t="n">
        <v>45730</v>
      </c>
      <c r="E105" s="10" t="n">
        <v>45743</v>
      </c>
      <c r="F105" s="10" t="n">
        <v>45947</v>
      </c>
      <c r="G105" s="11"/>
      <c r="H105" s="11"/>
      <c r="I105" s="11" t="s">
        <v>34</v>
      </c>
      <c r="J105" s="11"/>
      <c r="K105" s="11"/>
      <c r="L105" s="11" t="s">
        <v>218</v>
      </c>
      <c r="M105" s="15" t="s">
        <v>311</v>
      </c>
      <c r="N105" s="11" t="s">
        <v>312</v>
      </c>
      <c r="O105" s="11"/>
      <c r="P105" s="11"/>
      <c r="Q105" s="11"/>
      <c r="R105" s="11"/>
      <c r="S105" s="11"/>
      <c r="T105" s="12" t="n">
        <v>2800</v>
      </c>
      <c r="U105" s="13" t="s">
        <v>313</v>
      </c>
      <c r="V105" s="14" t="n">
        <v>13098608404</v>
      </c>
      <c r="W105" s="13"/>
    </row>
    <row r="106" customFormat="false" ht="15" hidden="false" customHeight="false" outlineLevel="0" collapsed="false">
      <c r="A106" s="9" t="s">
        <v>314</v>
      </c>
      <c r="B106" s="9"/>
      <c r="C106" s="10" t="n">
        <v>45729</v>
      </c>
      <c r="D106" s="10" t="n">
        <v>45736</v>
      </c>
      <c r="E106" s="10" t="n">
        <v>45749</v>
      </c>
      <c r="F106" s="11"/>
      <c r="G106" s="10" t="n">
        <v>45833</v>
      </c>
      <c r="H106" s="11"/>
      <c r="I106" s="11"/>
      <c r="J106" s="11"/>
      <c r="K106" s="11"/>
      <c r="L106" s="11" t="s">
        <v>28</v>
      </c>
      <c r="M106" s="15" t="s">
        <v>315</v>
      </c>
      <c r="N106" s="11"/>
      <c r="O106" s="11"/>
      <c r="P106" s="11"/>
      <c r="Q106" s="11"/>
      <c r="R106" s="11"/>
      <c r="S106" s="11"/>
      <c r="T106" s="12" t="n">
        <v>1650</v>
      </c>
      <c r="U106" s="13" t="s">
        <v>316</v>
      </c>
      <c r="V106" s="14" t="n">
        <v>66416841487</v>
      </c>
      <c r="W106" s="13"/>
    </row>
    <row r="107" customFormat="false" ht="15" hidden="false" customHeight="false" outlineLevel="0" collapsed="false">
      <c r="A107" s="9" t="s">
        <v>317</v>
      </c>
      <c r="B107" s="9"/>
      <c r="C107" s="10" t="n">
        <v>45728</v>
      </c>
      <c r="D107" s="10" t="n">
        <v>45730</v>
      </c>
      <c r="E107" s="10" t="n">
        <v>45743</v>
      </c>
      <c r="F107" s="10"/>
      <c r="G107" s="11"/>
      <c r="H107" s="11"/>
      <c r="I107" s="11"/>
      <c r="J107" s="11"/>
      <c r="K107" s="11"/>
      <c r="L107" s="11" t="s">
        <v>28</v>
      </c>
      <c r="M107" s="15" t="s">
        <v>315</v>
      </c>
      <c r="N107" s="11"/>
      <c r="O107" s="11"/>
      <c r="P107" s="11"/>
      <c r="Q107" s="11"/>
      <c r="R107" s="11"/>
      <c r="S107" s="11"/>
      <c r="T107" s="12" t="n">
        <v>15900</v>
      </c>
      <c r="U107" s="13" t="s">
        <v>316</v>
      </c>
      <c r="V107" s="14" t="n">
        <v>66416841487</v>
      </c>
      <c r="W107" s="13" t="s">
        <v>269</v>
      </c>
    </row>
    <row r="108" customFormat="false" ht="15" hidden="false" customHeight="false" outlineLevel="0" collapsed="false">
      <c r="A108" s="9" t="s">
        <v>318</v>
      </c>
      <c r="B108" s="9" t="s">
        <v>33</v>
      </c>
      <c r="C108" s="10" t="n">
        <v>45840</v>
      </c>
      <c r="D108" s="10" t="n">
        <v>45845</v>
      </c>
      <c r="E108" s="10" t="n">
        <v>45853</v>
      </c>
      <c r="F108" s="11"/>
      <c r="G108" s="16" t="n">
        <v>46001</v>
      </c>
      <c r="H108" s="16" t="n">
        <v>46020</v>
      </c>
      <c r="I108" s="11" t="s">
        <v>34</v>
      </c>
      <c r="J108" s="11"/>
      <c r="K108" s="11"/>
      <c r="L108" s="11" t="s">
        <v>24</v>
      </c>
      <c r="M108" s="11" t="s">
        <v>25</v>
      </c>
      <c r="N108" s="11"/>
      <c r="O108" s="11"/>
      <c r="P108" s="11"/>
      <c r="Q108" s="11"/>
      <c r="R108" s="11"/>
      <c r="S108" s="11"/>
      <c r="T108" s="12" t="n">
        <v>40600</v>
      </c>
      <c r="U108" s="13" t="s">
        <v>319</v>
      </c>
      <c r="V108" s="14" t="n">
        <v>22983333434</v>
      </c>
      <c r="W108" s="13"/>
    </row>
    <row r="109" customFormat="false" ht="15" hidden="false" customHeight="false" outlineLevel="0" collapsed="false">
      <c r="A109" s="9" t="s">
        <v>320</v>
      </c>
      <c r="B109" s="9" t="s">
        <v>33</v>
      </c>
      <c r="C109" s="10" t="n">
        <v>45840</v>
      </c>
      <c r="D109" s="10" t="n">
        <v>45845</v>
      </c>
      <c r="E109" s="10" t="n">
        <v>45853</v>
      </c>
      <c r="F109" s="10" t="n">
        <v>45910</v>
      </c>
      <c r="G109" s="11"/>
      <c r="H109" s="11"/>
      <c r="I109" s="11" t="s">
        <v>34</v>
      </c>
      <c r="J109" s="11"/>
      <c r="K109" s="11"/>
      <c r="L109" s="11" t="s">
        <v>28</v>
      </c>
      <c r="M109" s="15" t="s">
        <v>321</v>
      </c>
      <c r="N109" s="11"/>
      <c r="O109" s="11"/>
      <c r="P109" s="11"/>
      <c r="Q109" s="11"/>
      <c r="R109" s="11"/>
      <c r="S109" s="11"/>
      <c r="T109" s="12" t="n">
        <v>5000</v>
      </c>
      <c r="U109" s="13" t="s">
        <v>322</v>
      </c>
      <c r="V109" s="14" t="n">
        <v>70198144415</v>
      </c>
      <c r="W109" s="13"/>
    </row>
    <row r="110" customFormat="false" ht="15" hidden="false" customHeight="false" outlineLevel="0" collapsed="false">
      <c r="A110" s="9" t="s">
        <v>323</v>
      </c>
      <c r="B110" s="9"/>
      <c r="C110" s="10" t="n">
        <v>45615</v>
      </c>
      <c r="D110" s="10" t="n">
        <v>45625</v>
      </c>
      <c r="E110" s="10" t="n">
        <v>45638</v>
      </c>
      <c r="F110" s="11"/>
      <c r="G110" s="11"/>
      <c r="H110" s="11"/>
      <c r="I110" s="11"/>
      <c r="J110" s="11"/>
      <c r="K110" s="11"/>
      <c r="L110" s="11" t="s">
        <v>28</v>
      </c>
      <c r="M110" s="15" t="s">
        <v>324</v>
      </c>
      <c r="N110" s="11"/>
      <c r="O110" s="11"/>
      <c r="P110" s="11"/>
      <c r="Q110" s="11"/>
      <c r="R110" s="11"/>
      <c r="S110" s="11"/>
      <c r="T110" s="12" t="n">
        <v>5000</v>
      </c>
      <c r="U110" s="13" t="s">
        <v>325</v>
      </c>
      <c r="V110" s="14" t="n">
        <v>70198144415</v>
      </c>
      <c r="W110" s="13" t="s">
        <v>70</v>
      </c>
    </row>
    <row r="111" customFormat="false" ht="15" hidden="false" customHeight="false" outlineLevel="0" collapsed="false">
      <c r="A111" s="9" t="s">
        <v>326</v>
      </c>
      <c r="B111" s="9"/>
      <c r="C111" s="10" t="n">
        <v>45849</v>
      </c>
      <c r="D111" s="10" t="n">
        <v>45856</v>
      </c>
      <c r="E111" s="10" t="n">
        <v>45870</v>
      </c>
      <c r="F111" s="10" t="n">
        <v>45874</v>
      </c>
      <c r="G111" s="11"/>
      <c r="H111" s="11"/>
      <c r="I111" s="11"/>
      <c r="J111" s="11"/>
      <c r="K111" s="11"/>
      <c r="L111" s="11" t="s">
        <v>24</v>
      </c>
      <c r="M111" s="11" t="s">
        <v>327</v>
      </c>
      <c r="N111" s="11"/>
      <c r="O111" s="11"/>
      <c r="P111" s="10" t="n">
        <v>45875</v>
      </c>
      <c r="Q111" s="11" t="s">
        <v>40</v>
      </c>
      <c r="R111" s="11"/>
      <c r="S111" s="11"/>
      <c r="T111" s="12"/>
      <c r="U111" s="13" t="s">
        <v>328</v>
      </c>
      <c r="V111" s="14" t="n">
        <v>51273993420</v>
      </c>
      <c r="W111" s="13"/>
    </row>
    <row r="112" customFormat="false" ht="15" hidden="false" customHeight="false" outlineLevel="0" collapsed="false">
      <c r="A112" s="9" t="s">
        <v>329</v>
      </c>
      <c r="B112" s="9" t="s">
        <v>33</v>
      </c>
      <c r="C112" s="10" t="n">
        <v>45876</v>
      </c>
      <c r="D112" s="10" t="n">
        <v>45881</v>
      </c>
      <c r="E112" s="10" t="n">
        <v>45888</v>
      </c>
      <c r="F112" s="10"/>
      <c r="G112" s="11"/>
      <c r="H112" s="11"/>
      <c r="I112" s="11" t="s">
        <v>34</v>
      </c>
      <c r="J112" s="11"/>
      <c r="K112" s="11"/>
      <c r="L112" s="11" t="s">
        <v>24</v>
      </c>
      <c r="M112" s="15" t="s">
        <v>330</v>
      </c>
      <c r="N112" s="11" t="s">
        <v>331</v>
      </c>
      <c r="O112" s="11"/>
      <c r="P112" s="11"/>
      <c r="Q112" s="11"/>
      <c r="R112" s="11"/>
      <c r="S112" s="11"/>
      <c r="T112" s="12" t="n">
        <v>29250</v>
      </c>
      <c r="U112" s="13" t="s">
        <v>332</v>
      </c>
      <c r="V112" s="14" t="n">
        <v>12977608400</v>
      </c>
      <c r="W112" s="13"/>
    </row>
    <row r="113" customFormat="false" ht="15" hidden="false" customHeight="false" outlineLevel="0" collapsed="false">
      <c r="A113" s="9" t="s">
        <v>333</v>
      </c>
      <c r="B113" s="9"/>
      <c r="C113" s="10" t="n">
        <v>45888</v>
      </c>
      <c r="D113" s="10" t="n">
        <v>45897</v>
      </c>
      <c r="E113" s="10" t="n">
        <v>45912</v>
      </c>
      <c r="F113" s="10"/>
      <c r="G113" s="11"/>
      <c r="H113" s="11"/>
      <c r="I113" s="11"/>
      <c r="J113" s="11"/>
      <c r="K113" s="11"/>
      <c r="L113" s="11" t="s">
        <v>24</v>
      </c>
      <c r="M113" s="11" t="s">
        <v>167</v>
      </c>
      <c r="N113" s="11"/>
      <c r="O113" s="11"/>
      <c r="P113" s="11"/>
      <c r="Q113" s="11"/>
      <c r="R113" s="11"/>
      <c r="S113" s="11"/>
      <c r="T113" s="12" t="n">
        <v>5000</v>
      </c>
      <c r="U113" s="13" t="s">
        <v>334</v>
      </c>
      <c r="V113" s="14" t="n">
        <v>5549665492</v>
      </c>
      <c r="W113" s="13"/>
    </row>
    <row r="114" customFormat="false" ht="15" hidden="false" customHeight="false" outlineLevel="0" collapsed="false">
      <c r="A114" s="27" t="s">
        <v>335</v>
      </c>
      <c r="B114" s="9" t="s">
        <v>33</v>
      </c>
      <c r="C114" s="10" t="n">
        <v>45840</v>
      </c>
      <c r="D114" s="10" t="n">
        <v>45845</v>
      </c>
      <c r="E114" s="10" t="n">
        <v>45874</v>
      </c>
      <c r="F114" s="10" t="n">
        <v>45904</v>
      </c>
      <c r="G114" s="16" t="n">
        <v>45944</v>
      </c>
      <c r="H114" s="16" t="n">
        <v>45960</v>
      </c>
      <c r="I114" s="11" t="s">
        <v>34</v>
      </c>
      <c r="J114" s="11"/>
      <c r="K114" s="11"/>
      <c r="L114" s="11" t="s">
        <v>28</v>
      </c>
      <c r="M114" s="11" t="s">
        <v>336</v>
      </c>
      <c r="N114" s="11"/>
      <c r="O114" s="11"/>
      <c r="P114" s="11"/>
      <c r="Q114" s="11"/>
      <c r="R114" s="11"/>
      <c r="S114" s="11"/>
      <c r="T114" s="12" t="n">
        <v>2250</v>
      </c>
      <c r="U114" s="13" t="s">
        <v>337</v>
      </c>
      <c r="V114" s="14" t="n">
        <v>55215335400</v>
      </c>
      <c r="W114" s="13" t="s">
        <v>338</v>
      </c>
    </row>
    <row r="115" customFormat="false" ht="15" hidden="false" customHeight="false" outlineLevel="0" collapsed="false">
      <c r="A115" s="9" t="s">
        <v>339</v>
      </c>
      <c r="B115" s="9"/>
      <c r="C115" s="10" t="n">
        <v>45849</v>
      </c>
      <c r="D115" s="10" t="n">
        <v>45856</v>
      </c>
      <c r="E115" s="10" t="n">
        <v>45870</v>
      </c>
      <c r="F115" s="10"/>
      <c r="G115" s="11"/>
      <c r="H115" s="11"/>
      <c r="I115" s="11"/>
      <c r="J115" s="11"/>
      <c r="K115" s="11"/>
      <c r="L115" s="11" t="s">
        <v>28</v>
      </c>
      <c r="M115" s="15" t="s">
        <v>340</v>
      </c>
      <c r="N115" s="11"/>
      <c r="O115" s="11"/>
      <c r="P115" s="10"/>
      <c r="Q115" s="11"/>
      <c r="R115" s="11"/>
      <c r="S115" s="11"/>
      <c r="T115" s="12" t="n">
        <v>5000</v>
      </c>
      <c r="U115" s="13" t="s">
        <v>341</v>
      </c>
      <c r="V115" s="14" t="n">
        <v>2203369469</v>
      </c>
      <c r="W115" s="13"/>
    </row>
    <row r="116" customFormat="false" ht="15" hidden="false" customHeight="false" outlineLevel="0" collapsed="false">
      <c r="A116" s="9" t="s">
        <v>342</v>
      </c>
      <c r="B116" s="9"/>
      <c r="C116" s="10" t="n">
        <v>45728</v>
      </c>
      <c r="D116" s="10" t="n">
        <v>45730</v>
      </c>
      <c r="E116" s="10" t="n">
        <v>45740</v>
      </c>
      <c r="F116" s="10"/>
      <c r="G116" s="11"/>
      <c r="H116" s="11"/>
      <c r="I116" s="11"/>
      <c r="J116" s="11"/>
      <c r="K116" s="11"/>
      <c r="L116" s="11" t="s">
        <v>24</v>
      </c>
      <c r="M116" s="11" t="s">
        <v>25</v>
      </c>
      <c r="N116" s="11"/>
      <c r="O116" s="11"/>
      <c r="P116" s="11"/>
      <c r="Q116" s="11"/>
      <c r="R116" s="11"/>
      <c r="S116" s="11"/>
      <c r="T116" s="12" t="n">
        <v>5000</v>
      </c>
      <c r="U116" s="13" t="s">
        <v>343</v>
      </c>
      <c r="V116" s="14" t="n">
        <v>2140437462</v>
      </c>
      <c r="W116" s="13" t="s">
        <v>269</v>
      </c>
    </row>
    <row r="117" customFormat="false" ht="15" hidden="false" customHeight="false" outlineLevel="0" collapsed="false">
      <c r="A117" s="9" t="s">
        <v>344</v>
      </c>
      <c r="B117" s="9" t="s">
        <v>33</v>
      </c>
      <c r="C117" s="10" t="n">
        <v>45608</v>
      </c>
      <c r="D117" s="10" t="n">
        <v>45614</v>
      </c>
      <c r="E117" s="10" t="n">
        <v>45625</v>
      </c>
      <c r="F117" s="10" t="n">
        <v>45653</v>
      </c>
      <c r="G117" s="10" t="n">
        <v>45810</v>
      </c>
      <c r="H117" s="10" t="n">
        <v>45817</v>
      </c>
      <c r="I117" s="11" t="s">
        <v>34</v>
      </c>
      <c r="J117" s="11"/>
      <c r="K117" s="11" t="s">
        <v>34</v>
      </c>
      <c r="L117" s="11" t="s">
        <v>24</v>
      </c>
      <c r="M117" s="15" t="s">
        <v>345</v>
      </c>
      <c r="N117" s="31" t="s">
        <v>346</v>
      </c>
      <c r="O117" s="10" t="n">
        <v>45653</v>
      </c>
      <c r="P117" s="11"/>
      <c r="Q117" s="10"/>
      <c r="R117" s="10"/>
      <c r="S117" s="10"/>
      <c r="T117" s="12" t="n">
        <v>18500</v>
      </c>
      <c r="U117" s="13" t="s">
        <v>347</v>
      </c>
      <c r="V117" s="14" t="n">
        <v>2140437462</v>
      </c>
      <c r="W117" s="13" t="s">
        <v>348</v>
      </c>
    </row>
    <row r="118" customFormat="false" ht="15" hidden="false" customHeight="false" outlineLevel="0" collapsed="false">
      <c r="A118" s="9" t="s">
        <v>349</v>
      </c>
      <c r="B118" s="9"/>
      <c r="C118" s="10" t="n">
        <v>45728</v>
      </c>
      <c r="D118" s="10" t="n">
        <v>45730</v>
      </c>
      <c r="E118" s="10"/>
      <c r="F118" s="10" t="n">
        <v>45750</v>
      </c>
      <c r="G118" s="11"/>
      <c r="H118" s="11"/>
      <c r="I118" s="11"/>
      <c r="J118" s="11"/>
      <c r="K118" s="11"/>
      <c r="L118" s="11" t="s">
        <v>218</v>
      </c>
      <c r="M118" s="11" t="s">
        <v>350</v>
      </c>
      <c r="N118" s="11"/>
      <c r="O118" s="11"/>
      <c r="P118" s="11"/>
      <c r="Q118" s="11"/>
      <c r="R118" s="11"/>
      <c r="S118" s="11"/>
      <c r="T118" s="12" t="n">
        <v>6297.06</v>
      </c>
      <c r="U118" s="13" t="s">
        <v>351</v>
      </c>
      <c r="V118" s="14" t="n">
        <v>80727468472</v>
      </c>
      <c r="W118" s="13" t="s">
        <v>105</v>
      </c>
    </row>
    <row r="119" customFormat="false" ht="15" hidden="false" customHeight="false" outlineLevel="0" collapsed="false">
      <c r="A119" s="9" t="s">
        <v>352</v>
      </c>
      <c r="B119" s="9"/>
      <c r="C119" s="10" t="n">
        <v>45729</v>
      </c>
      <c r="D119" s="10" t="n">
        <v>45736</v>
      </c>
      <c r="E119" s="10" t="n">
        <v>45744</v>
      </c>
      <c r="F119" s="10" t="n">
        <v>45803</v>
      </c>
      <c r="G119" s="11"/>
      <c r="H119" s="11"/>
      <c r="I119" s="11"/>
      <c r="J119" s="11"/>
      <c r="K119" s="11"/>
      <c r="L119" s="11" t="s">
        <v>28</v>
      </c>
      <c r="M119" s="15" t="s">
        <v>353</v>
      </c>
      <c r="N119" s="11"/>
      <c r="O119" s="11"/>
      <c r="P119" s="10" t="n">
        <v>45749</v>
      </c>
      <c r="Q119" s="11" t="s">
        <v>40</v>
      </c>
      <c r="R119" s="11"/>
      <c r="S119" s="11"/>
      <c r="T119" s="12" t="n">
        <v>18720</v>
      </c>
      <c r="U119" s="13" t="s">
        <v>354</v>
      </c>
      <c r="V119" s="14" t="n">
        <v>96636823453</v>
      </c>
      <c r="W119" s="13"/>
    </row>
    <row r="120" customFormat="false" ht="15" hidden="false" customHeight="false" outlineLevel="0" collapsed="false">
      <c r="A120" s="26" t="s">
        <v>355</v>
      </c>
      <c r="B120" s="26"/>
      <c r="C120" s="10" t="n">
        <v>45615</v>
      </c>
      <c r="D120" s="10" t="n">
        <v>45625</v>
      </c>
      <c r="E120" s="10" t="n">
        <v>45636</v>
      </c>
      <c r="F120" s="11"/>
      <c r="G120" s="11"/>
      <c r="H120" s="11"/>
      <c r="I120" s="11"/>
      <c r="J120" s="11"/>
      <c r="K120" s="11"/>
      <c r="L120" s="11" t="s">
        <v>28</v>
      </c>
      <c r="M120" s="11" t="s">
        <v>356</v>
      </c>
      <c r="N120" s="11"/>
      <c r="O120" s="11"/>
      <c r="P120" s="11"/>
      <c r="Q120" s="11"/>
      <c r="R120" s="11"/>
      <c r="S120" s="11"/>
      <c r="T120" s="12" t="n">
        <v>10080</v>
      </c>
      <c r="U120" s="13" t="s">
        <v>357</v>
      </c>
      <c r="V120" s="14" t="n">
        <v>81334702420</v>
      </c>
      <c r="W120" s="13"/>
    </row>
    <row r="121" customFormat="false" ht="15" hidden="false" customHeight="false" outlineLevel="0" collapsed="false">
      <c r="A121" s="9" t="s">
        <v>358</v>
      </c>
      <c r="B121" s="9"/>
      <c r="C121" s="10" t="n">
        <v>45608</v>
      </c>
      <c r="D121" s="10" t="n">
        <v>45614</v>
      </c>
      <c r="E121" s="10" t="n">
        <v>45632</v>
      </c>
      <c r="F121" s="11"/>
      <c r="G121" s="11"/>
      <c r="H121" s="11"/>
      <c r="I121" s="11"/>
      <c r="J121" s="11"/>
      <c r="K121" s="11"/>
      <c r="L121" s="11" t="s">
        <v>28</v>
      </c>
      <c r="M121" s="15" t="s">
        <v>359</v>
      </c>
      <c r="N121" s="11"/>
      <c r="O121" s="11"/>
      <c r="P121" s="10" t="n">
        <v>45855</v>
      </c>
      <c r="Q121" s="11" t="s">
        <v>40</v>
      </c>
      <c r="R121" s="11"/>
      <c r="S121" s="11"/>
      <c r="T121" s="12" t="n">
        <v>3000</v>
      </c>
      <c r="U121" s="13" t="s">
        <v>360</v>
      </c>
      <c r="V121" s="14" t="n">
        <v>85109193487</v>
      </c>
      <c r="W121" s="13" t="s">
        <v>361</v>
      </c>
    </row>
    <row r="122" customFormat="false" ht="15" hidden="false" customHeight="false" outlineLevel="0" collapsed="false">
      <c r="A122" s="9" t="s">
        <v>362</v>
      </c>
      <c r="B122" s="9" t="s">
        <v>33</v>
      </c>
      <c r="C122" s="10" t="n">
        <v>45849</v>
      </c>
      <c r="D122" s="10" t="n">
        <v>45856</v>
      </c>
      <c r="E122" s="10" t="n">
        <v>45873</v>
      </c>
      <c r="F122" s="10"/>
      <c r="G122" s="11"/>
      <c r="H122" s="11"/>
      <c r="I122" s="11" t="s">
        <v>34</v>
      </c>
      <c r="J122" s="11"/>
      <c r="K122" s="11"/>
      <c r="L122" s="11" t="s">
        <v>28</v>
      </c>
      <c r="M122" s="15" t="s">
        <v>363</v>
      </c>
      <c r="N122" s="11"/>
      <c r="O122" s="11"/>
      <c r="P122" s="10"/>
      <c r="Q122" s="11"/>
      <c r="R122" s="11"/>
      <c r="S122" s="11"/>
      <c r="T122" s="12" t="n">
        <v>3000</v>
      </c>
      <c r="U122" s="13" t="s">
        <v>364</v>
      </c>
      <c r="V122" s="14" t="n">
        <v>2567003460</v>
      </c>
      <c r="W122" s="13"/>
    </row>
    <row r="123" customFormat="false" ht="15" hidden="false" customHeight="false" outlineLevel="0" collapsed="false">
      <c r="A123" s="9" t="s">
        <v>365</v>
      </c>
      <c r="B123" s="9"/>
      <c r="C123" s="10" t="n">
        <v>38303</v>
      </c>
      <c r="D123" s="10" t="n">
        <v>45614</v>
      </c>
      <c r="E123" s="10" t="n">
        <v>45630</v>
      </c>
      <c r="F123" s="11"/>
      <c r="G123" s="11"/>
      <c r="H123" s="11"/>
      <c r="I123" s="11"/>
      <c r="K123" s="11"/>
      <c r="L123" s="11" t="s">
        <v>28</v>
      </c>
      <c r="M123" s="15" t="s">
        <v>366</v>
      </c>
      <c r="N123" s="11"/>
      <c r="O123" s="11"/>
      <c r="P123" s="10" t="n">
        <v>45678</v>
      </c>
      <c r="Q123" s="11" t="s">
        <v>55</v>
      </c>
      <c r="R123" s="11"/>
      <c r="S123" s="11"/>
      <c r="T123" s="12" t="n">
        <v>3000</v>
      </c>
      <c r="U123" s="13" t="s">
        <v>367</v>
      </c>
      <c r="V123" s="14" t="n">
        <v>49062026400</v>
      </c>
      <c r="W123" s="13" t="s">
        <v>368</v>
      </c>
    </row>
    <row r="124" customFormat="false" ht="15" hidden="false" customHeight="false" outlineLevel="0" collapsed="false">
      <c r="A124" s="9" t="s">
        <v>369</v>
      </c>
      <c r="B124" s="9" t="s">
        <v>33</v>
      </c>
      <c r="C124" s="10" t="n">
        <v>45784</v>
      </c>
      <c r="D124" s="10" t="n">
        <v>45790</v>
      </c>
      <c r="E124" s="10" t="n">
        <v>45800</v>
      </c>
      <c r="F124" s="10" t="n">
        <v>45874</v>
      </c>
      <c r="G124" s="11"/>
      <c r="H124" s="11"/>
      <c r="I124" s="11"/>
      <c r="J124" s="11"/>
      <c r="K124" s="11"/>
      <c r="L124" s="11" t="s">
        <v>28</v>
      </c>
      <c r="M124" s="15" t="s">
        <v>370</v>
      </c>
      <c r="N124" s="11"/>
      <c r="O124" s="11"/>
      <c r="P124" s="10" t="n">
        <v>46008</v>
      </c>
      <c r="Q124" s="11" t="s">
        <v>40</v>
      </c>
      <c r="R124" s="11"/>
      <c r="S124" s="11"/>
      <c r="T124" s="12" t="n">
        <v>3000</v>
      </c>
      <c r="U124" s="13" t="s">
        <v>371</v>
      </c>
      <c r="V124" s="14" t="n">
        <v>50277464404</v>
      </c>
      <c r="W124" s="13"/>
    </row>
    <row r="125" customFormat="false" ht="15" hidden="false" customHeight="false" outlineLevel="0" collapsed="false">
      <c r="A125" s="9" t="s">
        <v>372</v>
      </c>
      <c r="B125" s="9" t="s">
        <v>33</v>
      </c>
      <c r="C125" s="10" t="n">
        <v>45770</v>
      </c>
      <c r="D125" s="10" t="n">
        <v>45771</v>
      </c>
      <c r="E125" s="10" t="n">
        <v>45789</v>
      </c>
      <c r="F125" s="10" t="n">
        <v>45993</v>
      </c>
      <c r="G125" s="11"/>
      <c r="H125" s="11"/>
      <c r="I125" s="11"/>
      <c r="J125" s="11"/>
      <c r="K125" s="11"/>
      <c r="L125" s="11" t="s">
        <v>28</v>
      </c>
      <c r="M125" s="15" t="s">
        <v>370</v>
      </c>
      <c r="N125" s="11"/>
      <c r="O125" s="11"/>
      <c r="P125" s="10" t="n">
        <v>46008</v>
      </c>
      <c r="Q125" s="11" t="s">
        <v>40</v>
      </c>
      <c r="R125" s="11"/>
      <c r="S125" s="11"/>
      <c r="T125" s="12" t="n">
        <v>9464</v>
      </c>
      <c r="U125" s="13" t="s">
        <v>371</v>
      </c>
      <c r="V125" s="14" t="n">
        <v>50277464404</v>
      </c>
      <c r="W125" s="13"/>
    </row>
    <row r="126" customFormat="false" ht="15" hidden="false" customHeight="false" outlineLevel="0" collapsed="false">
      <c r="A126" s="9" t="s">
        <v>373</v>
      </c>
      <c r="B126" s="9"/>
      <c r="C126" s="10" t="n">
        <v>45876</v>
      </c>
      <c r="D126" s="10" t="n">
        <v>45882</v>
      </c>
      <c r="E126" s="10" t="n">
        <v>45888</v>
      </c>
      <c r="F126" s="10" t="n">
        <v>45912</v>
      </c>
      <c r="G126" s="11"/>
      <c r="H126" s="11"/>
      <c r="I126" s="11"/>
      <c r="J126" s="11"/>
      <c r="K126" s="11"/>
      <c r="L126" s="11" t="s">
        <v>24</v>
      </c>
      <c r="M126" s="11" t="s">
        <v>126</v>
      </c>
      <c r="N126" s="11"/>
      <c r="O126" s="11"/>
      <c r="P126" s="11"/>
      <c r="Q126" s="11"/>
      <c r="R126" s="11"/>
      <c r="S126" s="11"/>
      <c r="T126" s="12" t="n">
        <v>5000</v>
      </c>
      <c r="U126" s="13" t="s">
        <v>374</v>
      </c>
      <c r="V126" s="14" t="n">
        <v>2283148448</v>
      </c>
      <c r="W126" s="13" t="s">
        <v>105</v>
      </c>
    </row>
    <row r="127" customFormat="false" ht="15" hidden="false" customHeight="false" outlineLevel="0" collapsed="false">
      <c r="A127" s="9" t="s">
        <v>375</v>
      </c>
      <c r="B127" s="9"/>
      <c r="C127" s="10" t="n">
        <v>45727</v>
      </c>
      <c r="D127" s="10" t="n">
        <v>45728</v>
      </c>
      <c r="E127" s="10" t="n">
        <v>45805</v>
      </c>
      <c r="F127" s="11"/>
      <c r="G127" s="11"/>
      <c r="H127" s="11"/>
      <c r="I127" s="11"/>
      <c r="K127" s="11"/>
      <c r="L127" s="11" t="s">
        <v>28</v>
      </c>
      <c r="M127" s="15" t="s">
        <v>376</v>
      </c>
      <c r="N127" s="11"/>
      <c r="O127" s="11"/>
      <c r="P127" s="11"/>
      <c r="Q127" s="11"/>
      <c r="R127" s="11"/>
      <c r="S127" s="11"/>
      <c r="T127" s="12" t="n">
        <v>5897.95</v>
      </c>
      <c r="U127" s="13" t="s">
        <v>377</v>
      </c>
      <c r="V127" s="14" t="n">
        <v>3144870420</v>
      </c>
      <c r="W127" s="13"/>
    </row>
    <row r="128" customFormat="false" ht="15" hidden="false" customHeight="false" outlineLevel="0" collapsed="false">
      <c r="A128" s="9" t="s">
        <v>378</v>
      </c>
      <c r="B128" s="9" t="s">
        <v>33</v>
      </c>
      <c r="C128" s="10" t="n">
        <v>45840</v>
      </c>
      <c r="D128" s="10" t="n">
        <v>45852</v>
      </c>
      <c r="E128" s="10" t="n">
        <v>45859</v>
      </c>
      <c r="F128" s="11"/>
      <c r="G128" s="11"/>
      <c r="H128" s="11"/>
      <c r="I128" s="11" t="s">
        <v>34</v>
      </c>
      <c r="J128" s="11"/>
      <c r="K128" s="11"/>
      <c r="L128" s="11" t="s">
        <v>24</v>
      </c>
      <c r="M128" s="11" t="s">
        <v>25</v>
      </c>
      <c r="N128" s="11"/>
      <c r="O128" s="11"/>
      <c r="P128" s="11"/>
      <c r="Q128" s="11"/>
      <c r="R128" s="11"/>
      <c r="S128" s="11"/>
      <c r="T128" s="12"/>
      <c r="U128" s="13" t="s">
        <v>379</v>
      </c>
      <c r="V128" s="14" t="n">
        <v>4383990487</v>
      </c>
      <c r="W128" s="13"/>
    </row>
    <row r="129" customFormat="false" ht="15" hidden="false" customHeight="false" outlineLevel="0" collapsed="false">
      <c r="A129" s="9" t="s">
        <v>380</v>
      </c>
      <c r="B129" s="9"/>
      <c r="C129" s="10" t="n">
        <v>45849</v>
      </c>
      <c r="D129" s="10" t="n">
        <v>45856</v>
      </c>
      <c r="E129" s="10" t="n">
        <v>45868</v>
      </c>
      <c r="F129" s="10"/>
      <c r="G129" s="11"/>
      <c r="H129" s="11"/>
      <c r="I129" s="11"/>
      <c r="J129" s="11"/>
      <c r="K129" s="11"/>
      <c r="L129" s="11" t="s">
        <v>28</v>
      </c>
      <c r="M129" s="15" t="s">
        <v>381</v>
      </c>
      <c r="N129" s="11"/>
      <c r="O129" s="11"/>
      <c r="P129" s="10"/>
      <c r="Q129" s="11"/>
      <c r="R129" s="11"/>
      <c r="S129" s="11"/>
      <c r="T129" s="12" t="n">
        <v>3000</v>
      </c>
      <c r="U129" s="13" t="s">
        <v>382</v>
      </c>
      <c r="V129" s="14" t="n">
        <v>1067994440</v>
      </c>
      <c r="W129" s="13"/>
    </row>
    <row r="130" customFormat="false" ht="15" hidden="false" customHeight="false" outlineLevel="0" collapsed="false">
      <c r="A130" s="19" t="s">
        <v>383</v>
      </c>
      <c r="B130" s="19"/>
      <c r="C130" s="20" t="n">
        <v>45632</v>
      </c>
      <c r="D130" s="20" t="n">
        <v>45642</v>
      </c>
      <c r="E130" s="20" t="n">
        <v>45653</v>
      </c>
      <c r="F130" s="20" t="n">
        <v>45681</v>
      </c>
      <c r="G130" s="20"/>
      <c r="H130" s="20"/>
      <c r="I130" s="21" t="s">
        <v>34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3" t="n">
        <v>32000</v>
      </c>
      <c r="U130" s="24" t="s">
        <v>384</v>
      </c>
      <c r="V130" s="25" t="n">
        <v>3404756410</v>
      </c>
      <c r="W130" s="24" t="s">
        <v>385</v>
      </c>
      <c r="X130" s="28" t="s">
        <v>386</v>
      </c>
    </row>
    <row r="131" customFormat="false" ht="15" hidden="false" customHeight="false" outlineLevel="0" collapsed="false">
      <c r="A131" s="9" t="s">
        <v>387</v>
      </c>
      <c r="B131" s="9" t="s">
        <v>33</v>
      </c>
      <c r="C131" s="10" t="n">
        <v>45625</v>
      </c>
      <c r="D131" s="10" t="n">
        <v>45635</v>
      </c>
      <c r="E131" s="10" t="n">
        <v>45650</v>
      </c>
      <c r="F131" s="11"/>
      <c r="G131" s="10" t="n">
        <v>45792</v>
      </c>
      <c r="H131" s="10" t="n">
        <v>45806</v>
      </c>
      <c r="I131" s="11" t="s">
        <v>34</v>
      </c>
      <c r="J131" s="11"/>
      <c r="K131" s="11"/>
      <c r="L131" s="11" t="s">
        <v>28</v>
      </c>
      <c r="M131" s="15" t="s">
        <v>234</v>
      </c>
      <c r="N131" s="11"/>
      <c r="O131" s="11"/>
      <c r="P131" s="11"/>
      <c r="Q131" s="11"/>
      <c r="R131" s="11"/>
      <c r="S131" s="11"/>
      <c r="T131" s="12" t="n">
        <v>2200</v>
      </c>
      <c r="U131" s="13" t="s">
        <v>388</v>
      </c>
      <c r="V131" s="14" t="n">
        <v>2445986494</v>
      </c>
      <c r="W131" s="13"/>
    </row>
    <row r="132" customFormat="false" ht="15" hidden="false" customHeight="false" outlineLevel="0" collapsed="false">
      <c r="A132" s="26" t="s">
        <v>389</v>
      </c>
      <c r="B132" s="26"/>
      <c r="C132" s="10" t="n">
        <v>45596</v>
      </c>
      <c r="D132" s="10" t="n">
        <v>45603</v>
      </c>
      <c r="E132" s="10" t="n">
        <v>45621</v>
      </c>
      <c r="F132" s="11"/>
      <c r="G132" s="10" t="n">
        <v>45799</v>
      </c>
      <c r="H132" s="10" t="n">
        <v>45825</v>
      </c>
      <c r="I132" s="11"/>
      <c r="J132" s="11"/>
      <c r="K132" s="11"/>
      <c r="L132" s="11" t="s">
        <v>28</v>
      </c>
      <c r="M132" s="15" t="s">
        <v>390</v>
      </c>
      <c r="N132" s="11"/>
      <c r="O132" s="11"/>
      <c r="P132" s="11"/>
      <c r="Q132" s="11"/>
      <c r="R132" s="11"/>
      <c r="S132" s="11"/>
      <c r="T132" s="12" t="n">
        <v>9829.92</v>
      </c>
      <c r="U132" s="13" t="s">
        <v>391</v>
      </c>
      <c r="V132" s="14" t="n">
        <v>77892224491</v>
      </c>
      <c r="W132" s="13"/>
    </row>
    <row r="133" customFormat="false" ht="15" hidden="false" customHeight="false" outlineLevel="0" collapsed="false">
      <c r="A133" s="27" t="s">
        <v>205</v>
      </c>
      <c r="B133" s="9"/>
      <c r="C133" s="10" t="n">
        <v>45596</v>
      </c>
      <c r="D133" s="10" t="n">
        <v>45603</v>
      </c>
      <c r="E133" s="10" t="n">
        <v>45608</v>
      </c>
      <c r="F133" s="10" t="n">
        <v>45684</v>
      </c>
      <c r="G133" s="11"/>
      <c r="H133" s="11"/>
      <c r="I133" s="11"/>
      <c r="J133" s="11"/>
      <c r="K133" s="11"/>
      <c r="L133" s="11" t="s">
        <v>28</v>
      </c>
      <c r="M133" s="11" t="s">
        <v>392</v>
      </c>
      <c r="N133" s="11"/>
      <c r="O133" s="11"/>
      <c r="P133" s="11"/>
      <c r="Q133" s="11"/>
      <c r="R133" s="11"/>
      <c r="S133" s="11"/>
      <c r="T133" s="12" t="n">
        <v>500</v>
      </c>
      <c r="U133" s="13" t="s">
        <v>393</v>
      </c>
      <c r="V133" s="14" t="n">
        <v>7484488453</v>
      </c>
      <c r="W133" s="13" t="s">
        <v>394</v>
      </c>
    </row>
    <row r="134" customFormat="false" ht="15" hidden="false" customHeight="false" outlineLevel="0" collapsed="false">
      <c r="A134" s="9" t="s">
        <v>395</v>
      </c>
      <c r="B134" s="9"/>
      <c r="C134" s="10" t="n">
        <v>45793</v>
      </c>
      <c r="D134" s="10" t="n">
        <v>45810</v>
      </c>
      <c r="E134" s="10" t="n">
        <v>45825</v>
      </c>
      <c r="F134" s="10"/>
      <c r="G134" s="11"/>
      <c r="H134" s="11"/>
      <c r="I134" s="11"/>
      <c r="J134" s="11"/>
      <c r="K134" s="11"/>
      <c r="L134" s="11" t="s">
        <v>28</v>
      </c>
      <c r="M134" s="15" t="s">
        <v>396</v>
      </c>
      <c r="N134" s="11"/>
      <c r="O134" s="11"/>
      <c r="P134" s="11"/>
      <c r="Q134" s="11"/>
      <c r="R134" s="11"/>
      <c r="S134" s="11"/>
      <c r="T134" s="12" t="n">
        <v>5000</v>
      </c>
      <c r="U134" s="13" t="s">
        <v>397</v>
      </c>
      <c r="V134" s="14" t="n">
        <v>7103793824</v>
      </c>
      <c r="W134" s="13"/>
    </row>
    <row r="135" customFormat="false" ht="15" hidden="false" customHeight="false" outlineLevel="0" collapsed="false">
      <c r="A135" s="9" t="s">
        <v>398</v>
      </c>
      <c r="B135" s="9" t="s">
        <v>33</v>
      </c>
      <c r="C135" s="10" t="n">
        <v>45622</v>
      </c>
      <c r="D135" s="10" t="n">
        <v>45625</v>
      </c>
      <c r="E135" s="10" t="n">
        <v>45629</v>
      </c>
      <c r="F135" s="10" t="n">
        <v>45679</v>
      </c>
      <c r="G135" s="11"/>
      <c r="H135" s="11"/>
      <c r="I135" s="11" t="s">
        <v>34</v>
      </c>
      <c r="J135" s="11"/>
      <c r="K135" s="11"/>
      <c r="L135" s="11" t="s">
        <v>24</v>
      </c>
      <c r="M135" s="11" t="s">
        <v>279</v>
      </c>
      <c r="N135" s="11" t="s">
        <v>399</v>
      </c>
      <c r="O135" s="11"/>
      <c r="P135" s="11"/>
      <c r="Q135" s="11"/>
      <c r="R135" s="11"/>
      <c r="S135" s="11"/>
      <c r="T135" s="12" t="n">
        <v>5000</v>
      </c>
      <c r="U135" s="13" t="s">
        <v>400</v>
      </c>
      <c r="V135" s="14" t="n">
        <v>3465952405</v>
      </c>
      <c r="W135" s="13"/>
    </row>
    <row r="136" customFormat="false" ht="15" hidden="false" customHeight="false" outlineLevel="0" collapsed="false">
      <c r="A136" s="9" t="s">
        <v>401</v>
      </c>
      <c r="B136" s="9"/>
      <c r="C136" s="10" t="n">
        <v>45624</v>
      </c>
      <c r="D136" s="10" t="n">
        <v>45635</v>
      </c>
      <c r="E136" s="10" t="n">
        <v>45663</v>
      </c>
      <c r="F136" s="11"/>
      <c r="G136" s="11"/>
      <c r="H136" s="11"/>
      <c r="I136" s="11"/>
      <c r="J136" s="11"/>
      <c r="K136" s="11"/>
      <c r="L136" s="11" t="s">
        <v>28</v>
      </c>
      <c r="M136" s="11" t="s">
        <v>402</v>
      </c>
      <c r="N136" s="11"/>
      <c r="O136" s="11"/>
      <c r="P136" s="11"/>
      <c r="Q136" s="11"/>
      <c r="R136" s="11"/>
      <c r="S136" s="11"/>
      <c r="T136" s="12" t="n">
        <v>5000</v>
      </c>
      <c r="U136" s="13" t="s">
        <v>403</v>
      </c>
      <c r="V136" s="14" t="n">
        <v>87493292434</v>
      </c>
      <c r="W136" s="13" t="s">
        <v>70</v>
      </c>
    </row>
    <row r="137" customFormat="false" ht="15" hidden="false" customHeight="false" outlineLevel="0" collapsed="false">
      <c r="A137" s="9" t="s">
        <v>404</v>
      </c>
      <c r="B137" s="9" t="s">
        <v>33</v>
      </c>
      <c r="C137" s="10" t="n">
        <v>45624</v>
      </c>
      <c r="D137" s="10" t="n">
        <v>45642</v>
      </c>
      <c r="E137" s="10" t="n">
        <v>45672</v>
      </c>
      <c r="F137" s="10" t="n">
        <v>45698</v>
      </c>
      <c r="G137" s="10"/>
      <c r="H137" s="10"/>
      <c r="I137" s="11" t="s">
        <v>34</v>
      </c>
      <c r="J137" s="11"/>
      <c r="K137" s="11"/>
      <c r="L137" s="11" t="s">
        <v>24</v>
      </c>
      <c r="M137" s="11" t="s">
        <v>126</v>
      </c>
      <c r="N137" s="11"/>
      <c r="O137" s="11"/>
      <c r="P137" s="11"/>
      <c r="Q137" s="11"/>
      <c r="R137" s="11"/>
      <c r="S137" s="11"/>
      <c r="T137" s="12" t="n">
        <v>6481.8</v>
      </c>
      <c r="U137" s="13" t="s">
        <v>405</v>
      </c>
      <c r="V137" s="14" t="n">
        <v>81357427468</v>
      </c>
      <c r="W137" s="13"/>
    </row>
    <row r="138" customFormat="false" ht="15" hidden="false" customHeight="false" outlineLevel="0" collapsed="false">
      <c r="A138" s="9" t="s">
        <v>406</v>
      </c>
      <c r="B138" s="9" t="s">
        <v>33</v>
      </c>
      <c r="C138" s="10" t="n">
        <v>45803</v>
      </c>
      <c r="D138" s="10" t="n">
        <v>45810</v>
      </c>
      <c r="E138" s="10" t="n">
        <v>45824</v>
      </c>
      <c r="F138" s="10" t="n">
        <v>45947</v>
      </c>
      <c r="G138" s="11"/>
      <c r="H138" s="11"/>
      <c r="I138" s="11" t="s">
        <v>34</v>
      </c>
      <c r="J138" s="11"/>
      <c r="K138" s="11"/>
      <c r="L138" s="11" t="s">
        <v>218</v>
      </c>
      <c r="M138" s="11" t="s">
        <v>407</v>
      </c>
      <c r="N138" s="11"/>
      <c r="O138" s="11"/>
      <c r="P138" s="11"/>
      <c r="Q138" s="11"/>
      <c r="R138" s="11"/>
      <c r="S138" s="11"/>
      <c r="T138" s="12" t="n">
        <v>886.41</v>
      </c>
      <c r="U138" s="13" t="s">
        <v>408</v>
      </c>
      <c r="V138" s="14" t="n">
        <v>5020735434</v>
      </c>
      <c r="W138" s="13"/>
    </row>
    <row r="139" customFormat="false" ht="15" hidden="false" customHeight="false" outlineLevel="0" collapsed="false">
      <c r="A139" s="9" t="s">
        <v>409</v>
      </c>
      <c r="B139" s="9"/>
      <c r="C139" s="10" t="n">
        <v>45625</v>
      </c>
      <c r="D139" s="10" t="n">
        <v>45635</v>
      </c>
      <c r="E139" s="10" t="n">
        <v>45685</v>
      </c>
      <c r="F139" s="11"/>
      <c r="G139" s="11"/>
      <c r="H139" s="11"/>
      <c r="I139" s="11"/>
      <c r="J139" s="11"/>
      <c r="K139" s="11"/>
      <c r="L139" s="11" t="s">
        <v>24</v>
      </c>
      <c r="M139" s="11" t="s">
        <v>126</v>
      </c>
      <c r="N139" s="11"/>
      <c r="O139" s="11"/>
      <c r="P139" s="10" t="n">
        <v>45698</v>
      </c>
      <c r="Q139" s="11" t="s">
        <v>40</v>
      </c>
      <c r="R139" s="11"/>
      <c r="S139" s="11"/>
      <c r="T139" s="12" t="n">
        <v>10000</v>
      </c>
      <c r="U139" s="13" t="s">
        <v>410</v>
      </c>
      <c r="V139" s="14" t="n">
        <v>37811444453</v>
      </c>
      <c r="W139" s="13"/>
    </row>
    <row r="140" customFormat="false" ht="15" hidden="false" customHeight="false" outlineLevel="0" collapsed="false">
      <c r="A140" s="9" t="s">
        <v>411</v>
      </c>
      <c r="B140" s="9"/>
      <c r="C140" s="10" t="n">
        <v>45784</v>
      </c>
      <c r="D140" s="10" t="n">
        <v>45790</v>
      </c>
      <c r="E140" s="10" t="n">
        <v>45800</v>
      </c>
      <c r="F140" s="10" t="n">
        <v>45833</v>
      </c>
      <c r="G140" s="11"/>
      <c r="H140" s="11"/>
      <c r="I140" s="11" t="s">
        <v>34</v>
      </c>
      <c r="J140" s="18" t="n">
        <v>4481.69</v>
      </c>
      <c r="K140" s="11" t="s">
        <v>34</v>
      </c>
      <c r="L140" s="11" t="s">
        <v>24</v>
      </c>
      <c r="M140" s="11" t="s">
        <v>412</v>
      </c>
      <c r="N140" s="11" t="s">
        <v>413</v>
      </c>
      <c r="O140" s="11"/>
      <c r="P140" s="11"/>
      <c r="Q140" s="11"/>
      <c r="R140" s="11"/>
      <c r="S140" s="11"/>
      <c r="T140" s="12" t="n">
        <v>10000</v>
      </c>
      <c r="U140" s="13" t="s">
        <v>414</v>
      </c>
      <c r="V140" s="14" t="n">
        <v>22525904400</v>
      </c>
      <c r="W140" s="13"/>
    </row>
    <row r="141" customFormat="false" ht="15" hidden="false" customHeight="false" outlineLevel="0" collapsed="false">
      <c r="A141" s="9" t="s">
        <v>415</v>
      </c>
      <c r="B141" s="9"/>
      <c r="C141" s="10" t="n">
        <v>45595</v>
      </c>
      <c r="D141" s="10" t="n">
        <v>45600</v>
      </c>
      <c r="E141" s="10" t="n">
        <v>45608</v>
      </c>
      <c r="F141" s="10"/>
      <c r="G141" s="10" t="n">
        <v>45810</v>
      </c>
      <c r="H141" s="10" t="n">
        <v>45855</v>
      </c>
      <c r="I141" s="11"/>
      <c r="J141" s="11"/>
      <c r="K141" s="11"/>
      <c r="L141" s="11" t="s">
        <v>28</v>
      </c>
      <c r="M141" s="15" t="s">
        <v>416</v>
      </c>
      <c r="N141" s="11"/>
      <c r="O141" s="11"/>
      <c r="P141" s="11"/>
      <c r="Q141" s="11"/>
      <c r="R141" s="11"/>
      <c r="S141" s="11"/>
      <c r="T141" s="12" t="n">
        <v>7720.88</v>
      </c>
      <c r="U141" s="13" t="s">
        <v>417</v>
      </c>
      <c r="V141" s="14" t="n">
        <v>1679984470</v>
      </c>
      <c r="W141" s="13"/>
    </row>
    <row r="142" customFormat="false" ht="15" hidden="false" customHeight="false" outlineLevel="0" collapsed="false">
      <c r="A142" s="9" t="s">
        <v>418</v>
      </c>
      <c r="B142" s="9" t="s">
        <v>33</v>
      </c>
      <c r="C142" s="10" t="n">
        <v>45848</v>
      </c>
      <c r="D142" s="10" t="n">
        <v>45854</v>
      </c>
      <c r="E142" s="10" t="n">
        <v>45859</v>
      </c>
      <c r="F142" s="10"/>
      <c r="G142" s="11"/>
      <c r="H142" s="11"/>
      <c r="I142" s="11" t="s">
        <v>34</v>
      </c>
      <c r="J142" s="11"/>
      <c r="K142" s="11"/>
      <c r="L142" s="11" t="s">
        <v>24</v>
      </c>
      <c r="M142" s="11" t="s">
        <v>167</v>
      </c>
      <c r="N142" s="11" t="s">
        <v>419</v>
      </c>
      <c r="O142" s="11"/>
      <c r="P142" s="11"/>
      <c r="Q142" s="11"/>
      <c r="R142" s="11"/>
      <c r="S142" s="11"/>
      <c r="T142" s="12"/>
      <c r="U142" s="13" t="s">
        <v>420</v>
      </c>
      <c r="V142" s="14" t="n">
        <v>9060340434</v>
      </c>
      <c r="W142" s="13"/>
    </row>
    <row r="143" customFormat="false" ht="15" hidden="false" customHeight="false" outlineLevel="0" collapsed="false">
      <c r="A143" s="9" t="s">
        <v>421</v>
      </c>
      <c r="B143" s="9" t="s">
        <v>33</v>
      </c>
      <c r="C143" s="10" t="n">
        <v>45876</v>
      </c>
      <c r="D143" s="10" t="n">
        <v>45882</v>
      </c>
      <c r="E143" s="10" t="n">
        <v>45901</v>
      </c>
      <c r="F143" s="10"/>
      <c r="G143" s="11"/>
      <c r="H143" s="11"/>
      <c r="I143" s="11" t="s">
        <v>34</v>
      </c>
      <c r="J143" s="11"/>
      <c r="K143" s="11"/>
      <c r="L143" s="11" t="s">
        <v>24</v>
      </c>
      <c r="M143" s="11" t="s">
        <v>25</v>
      </c>
      <c r="N143" s="11"/>
      <c r="O143" s="11"/>
      <c r="P143" s="11"/>
      <c r="Q143" s="11"/>
      <c r="R143" s="11"/>
      <c r="S143" s="11"/>
      <c r="T143" s="12" t="n">
        <v>5000</v>
      </c>
      <c r="U143" s="13" t="s">
        <v>422</v>
      </c>
      <c r="V143" s="14" t="n">
        <v>46524061420</v>
      </c>
      <c r="W143" s="13"/>
    </row>
    <row r="144" customFormat="false" ht="15" hidden="false" customHeight="false" outlineLevel="0" collapsed="false">
      <c r="A144" s="9" t="s">
        <v>423</v>
      </c>
      <c r="B144" s="9" t="s">
        <v>33</v>
      </c>
      <c r="C144" s="10" t="n">
        <v>45674</v>
      </c>
      <c r="D144" s="10" t="n">
        <v>45687</v>
      </c>
      <c r="E144" s="10" t="n">
        <v>45698</v>
      </c>
      <c r="F144" s="10" t="n">
        <v>45729</v>
      </c>
      <c r="G144" s="11"/>
      <c r="H144" s="11"/>
      <c r="I144" s="11" t="s">
        <v>34</v>
      </c>
      <c r="J144" s="11"/>
      <c r="K144" s="11"/>
      <c r="L144" s="11" t="s">
        <v>28</v>
      </c>
      <c r="M144" s="15" t="s">
        <v>424</v>
      </c>
      <c r="N144" s="11"/>
      <c r="O144" s="11" t="s">
        <v>34</v>
      </c>
      <c r="P144" s="11"/>
      <c r="Q144" s="11"/>
      <c r="R144" s="11"/>
      <c r="S144" s="11"/>
      <c r="T144" s="12" t="n">
        <v>5000</v>
      </c>
      <c r="U144" s="13" t="s">
        <v>425</v>
      </c>
      <c r="V144" s="14" t="n">
        <v>66429420434</v>
      </c>
      <c r="W144" s="13"/>
    </row>
    <row r="145" customFormat="false" ht="15" hidden="false" customHeight="false" outlineLevel="0" collapsed="false">
      <c r="A145" s="9" t="s">
        <v>426</v>
      </c>
      <c r="B145" s="9"/>
      <c r="C145" s="10" t="n">
        <v>45614</v>
      </c>
      <c r="D145" s="10" t="n">
        <v>45625</v>
      </c>
      <c r="E145" s="10" t="n">
        <v>45656</v>
      </c>
      <c r="F145" s="11"/>
      <c r="G145" s="10" t="n">
        <v>45792</v>
      </c>
      <c r="H145" s="10" t="n">
        <v>45817</v>
      </c>
      <c r="I145" s="11"/>
      <c r="J145" s="11"/>
      <c r="K145" s="11"/>
      <c r="L145" s="11" t="s">
        <v>28</v>
      </c>
      <c r="M145" s="15" t="s">
        <v>427</v>
      </c>
      <c r="N145" s="11"/>
      <c r="O145" s="11"/>
      <c r="P145" s="11"/>
      <c r="Q145" s="11"/>
      <c r="R145" s="11"/>
      <c r="S145" s="11"/>
      <c r="T145" s="12" t="n">
        <v>5000</v>
      </c>
      <c r="U145" s="13" t="s">
        <v>428</v>
      </c>
      <c r="V145" s="14" t="n">
        <v>6567794461</v>
      </c>
      <c r="W145" s="13"/>
    </row>
    <row r="146" customFormat="false" ht="15" hidden="false" customHeight="false" outlineLevel="0" collapsed="false">
      <c r="A146" s="9" t="s">
        <v>429</v>
      </c>
      <c r="B146" s="9" t="s">
        <v>33</v>
      </c>
      <c r="C146" s="10" t="n">
        <v>45674</v>
      </c>
      <c r="D146" s="10" t="n">
        <v>45799</v>
      </c>
      <c r="E146" s="10" t="n">
        <v>45825</v>
      </c>
      <c r="F146" s="10" t="n">
        <v>45874</v>
      </c>
      <c r="G146" s="11"/>
      <c r="H146" s="11"/>
      <c r="I146" s="11" t="s">
        <v>34</v>
      </c>
      <c r="J146" s="11"/>
      <c r="K146" s="11"/>
      <c r="L146" s="11" t="s">
        <v>24</v>
      </c>
      <c r="M146" s="11" t="s">
        <v>126</v>
      </c>
      <c r="N146" s="11"/>
      <c r="O146" s="11"/>
      <c r="P146" s="11"/>
      <c r="Q146" s="11"/>
      <c r="R146" s="11"/>
      <c r="S146" s="11"/>
      <c r="T146" s="12" t="n">
        <v>10000</v>
      </c>
      <c r="U146" s="13" t="s">
        <v>430</v>
      </c>
      <c r="V146" s="14" t="n">
        <v>7409141468</v>
      </c>
      <c r="W146" s="13"/>
    </row>
    <row r="147" customFormat="false" ht="15" hidden="false" customHeight="false" outlineLevel="0" collapsed="false">
      <c r="A147" s="9" t="s">
        <v>431</v>
      </c>
      <c r="B147" s="9"/>
      <c r="C147" s="10" t="n">
        <v>45681</v>
      </c>
      <c r="D147" s="10" t="n">
        <v>45694</v>
      </c>
      <c r="E147" s="10" t="n">
        <v>45707</v>
      </c>
      <c r="F147" s="10"/>
      <c r="G147" s="11"/>
      <c r="H147" s="11"/>
      <c r="I147" s="11"/>
      <c r="J147" s="11"/>
      <c r="K147" s="11"/>
      <c r="L147" s="11" t="s">
        <v>28</v>
      </c>
      <c r="M147" s="15" t="s">
        <v>432</v>
      </c>
      <c r="N147" s="11"/>
      <c r="O147" s="11"/>
      <c r="P147" s="11"/>
      <c r="Q147" s="11"/>
      <c r="R147" s="11"/>
      <c r="S147" s="11"/>
      <c r="T147" s="12" t="n">
        <v>9829.92</v>
      </c>
      <c r="U147" s="13" t="s">
        <v>433</v>
      </c>
      <c r="V147" s="14" t="n">
        <v>40664465404</v>
      </c>
      <c r="W147" s="13" t="s">
        <v>269</v>
      </c>
    </row>
    <row r="148" customFormat="false" ht="15" hidden="false" customHeight="false" outlineLevel="0" collapsed="false">
      <c r="A148" s="9" t="s">
        <v>434</v>
      </c>
      <c r="B148" s="9" t="s">
        <v>33</v>
      </c>
      <c r="C148" s="10" t="n">
        <v>45595</v>
      </c>
      <c r="D148" s="10" t="n">
        <v>45600</v>
      </c>
      <c r="E148" s="10" t="n">
        <v>45607</v>
      </c>
      <c r="F148" s="11"/>
      <c r="G148" s="10" t="n">
        <v>45799</v>
      </c>
      <c r="H148" s="10" t="n">
        <v>45825</v>
      </c>
      <c r="I148" s="11" t="s">
        <v>34</v>
      </c>
      <c r="J148" s="11"/>
      <c r="K148" s="11" t="s">
        <v>34</v>
      </c>
      <c r="L148" s="11" t="s">
        <v>28</v>
      </c>
      <c r="M148" s="15" t="s">
        <v>435</v>
      </c>
      <c r="N148" s="11"/>
      <c r="O148" s="11" t="s">
        <v>34</v>
      </c>
      <c r="P148" s="11"/>
      <c r="Q148" s="11"/>
      <c r="R148" s="11" t="s">
        <v>436</v>
      </c>
      <c r="S148" s="11"/>
      <c r="T148" s="12" t="n">
        <v>300</v>
      </c>
      <c r="U148" s="13" t="s">
        <v>437</v>
      </c>
      <c r="V148" s="14" t="n">
        <v>72114673472</v>
      </c>
      <c r="W148" s="13"/>
    </row>
    <row r="149" customFormat="false" ht="15" hidden="false" customHeight="false" outlineLevel="0" collapsed="false">
      <c r="A149" s="9" t="s">
        <v>438</v>
      </c>
      <c r="B149" s="9" t="s">
        <v>33</v>
      </c>
      <c r="C149" s="10" t="n">
        <v>45728</v>
      </c>
      <c r="D149" s="10" t="n">
        <v>45730</v>
      </c>
      <c r="E149" s="10" t="n">
        <v>45750</v>
      </c>
      <c r="F149" s="10" t="n">
        <v>45758</v>
      </c>
      <c r="G149" s="11"/>
      <c r="H149" s="11"/>
      <c r="I149" s="11" t="s">
        <v>34</v>
      </c>
      <c r="J149" s="18" t="n">
        <v>2322.45</v>
      </c>
      <c r="K149" s="11" t="s">
        <v>34</v>
      </c>
      <c r="L149" s="11" t="s">
        <v>24</v>
      </c>
      <c r="M149" s="11" t="s">
        <v>126</v>
      </c>
      <c r="N149" s="11"/>
      <c r="O149" s="11"/>
      <c r="P149" s="11"/>
      <c r="Q149" s="11"/>
      <c r="R149" s="11"/>
      <c r="S149" s="11"/>
      <c r="T149" s="12" t="n">
        <v>1500</v>
      </c>
      <c r="U149" s="13" t="s">
        <v>439</v>
      </c>
      <c r="V149" s="14" t="n">
        <v>6714080468</v>
      </c>
      <c r="W149" s="13"/>
    </row>
    <row r="150" customFormat="false" ht="15" hidden="false" customHeight="false" outlineLevel="0" collapsed="false">
      <c r="A150" s="9" t="s">
        <v>440</v>
      </c>
      <c r="B150" s="9" t="s">
        <v>33</v>
      </c>
      <c r="C150" s="10" t="n">
        <v>45849</v>
      </c>
      <c r="D150" s="10" t="n">
        <v>45856</v>
      </c>
      <c r="E150" s="10" t="n">
        <v>45868</v>
      </c>
      <c r="F150" s="10" t="n">
        <v>45883</v>
      </c>
      <c r="G150" s="11"/>
      <c r="H150" s="11"/>
      <c r="I150" s="11" t="s">
        <v>34</v>
      </c>
      <c r="J150" s="11"/>
      <c r="K150" s="11"/>
      <c r="L150" s="11" t="s">
        <v>24</v>
      </c>
      <c r="M150" s="11" t="s">
        <v>126</v>
      </c>
      <c r="N150" s="11"/>
      <c r="O150" s="11"/>
      <c r="P150" s="11"/>
      <c r="Q150" s="11"/>
      <c r="R150" s="11"/>
      <c r="S150" s="11"/>
      <c r="T150" s="12" t="n">
        <v>3000</v>
      </c>
      <c r="U150" s="13" t="s">
        <v>439</v>
      </c>
      <c r="V150" s="14" t="n">
        <v>6714080468</v>
      </c>
      <c r="W150" s="13"/>
    </row>
    <row r="151" customFormat="false" ht="15" hidden="false" customHeight="false" outlineLevel="0" collapsed="false">
      <c r="A151" s="9" t="s">
        <v>441</v>
      </c>
      <c r="B151" s="9"/>
      <c r="C151" s="10" t="n">
        <v>45730</v>
      </c>
      <c r="D151" s="10" t="n">
        <v>45736</v>
      </c>
      <c r="E151" s="10" t="n">
        <v>45747</v>
      </c>
      <c r="F151" s="10"/>
      <c r="G151" s="10" t="n">
        <v>45839</v>
      </c>
      <c r="H151" s="11"/>
      <c r="I151" s="11"/>
      <c r="J151" s="11"/>
      <c r="K151" s="11"/>
      <c r="L151" s="11" t="s">
        <v>28</v>
      </c>
      <c r="M151" s="11" t="s">
        <v>442</v>
      </c>
      <c r="N151" s="11"/>
      <c r="O151" s="11"/>
      <c r="P151" s="11"/>
      <c r="Q151" s="11"/>
      <c r="R151" s="11"/>
      <c r="S151" s="11"/>
      <c r="T151" s="12" t="n">
        <v>26749.54</v>
      </c>
      <c r="U151" s="13" t="s">
        <v>443</v>
      </c>
      <c r="V151" s="14" t="n">
        <v>67304907487</v>
      </c>
      <c r="W151" s="13"/>
    </row>
    <row r="152" customFormat="false" ht="15" hidden="false" customHeight="false" outlineLevel="0" collapsed="false">
      <c r="A152" s="9" t="s">
        <v>444</v>
      </c>
      <c r="B152" s="9"/>
      <c r="C152" s="10" t="n">
        <v>45625</v>
      </c>
      <c r="D152" s="10" t="n">
        <v>45635</v>
      </c>
      <c r="E152" s="10" t="n">
        <v>45652</v>
      </c>
      <c r="F152" s="10" t="n">
        <v>45684</v>
      </c>
      <c r="G152" s="10" t="n">
        <v>45856</v>
      </c>
      <c r="H152" s="10" t="n">
        <v>45876</v>
      </c>
      <c r="I152" s="11"/>
      <c r="J152" s="11"/>
      <c r="K152" s="11"/>
      <c r="L152" s="11" t="s">
        <v>28</v>
      </c>
      <c r="M152" s="11" t="s">
        <v>445</v>
      </c>
      <c r="N152" s="11"/>
      <c r="O152" s="11"/>
      <c r="P152" s="11"/>
      <c r="Q152" s="11"/>
      <c r="R152" s="11"/>
      <c r="S152" s="11"/>
      <c r="T152" s="12" t="n">
        <v>3000</v>
      </c>
      <c r="U152" s="13" t="s">
        <v>446</v>
      </c>
      <c r="V152" s="14" t="n">
        <v>59641193449</v>
      </c>
      <c r="W152" s="13" t="s">
        <v>447</v>
      </c>
    </row>
    <row r="153" customFormat="false" ht="15" hidden="false" customHeight="false" outlineLevel="0" collapsed="false">
      <c r="A153" s="19" t="s">
        <v>448</v>
      </c>
      <c r="B153" s="19"/>
      <c r="C153" s="20" t="n">
        <v>45674</v>
      </c>
      <c r="D153" s="20" t="n">
        <v>45694</v>
      </c>
      <c r="E153" s="20" t="n">
        <v>45708</v>
      </c>
      <c r="F153" s="20" t="n">
        <v>45741</v>
      </c>
      <c r="G153" s="21"/>
      <c r="H153" s="21"/>
      <c r="I153" s="21" t="s">
        <v>34</v>
      </c>
      <c r="J153" s="21"/>
      <c r="K153" s="21"/>
      <c r="L153" s="21" t="s">
        <v>24</v>
      </c>
      <c r="M153" s="21" t="s">
        <v>126</v>
      </c>
      <c r="N153" s="21"/>
      <c r="O153" s="21"/>
      <c r="P153" s="21"/>
      <c r="Q153" s="21"/>
      <c r="R153" s="21"/>
      <c r="S153" s="21"/>
      <c r="T153" s="23" t="n">
        <v>37184</v>
      </c>
      <c r="U153" s="24" t="s">
        <v>449</v>
      </c>
      <c r="V153" s="25" t="n">
        <v>19989407487</v>
      </c>
      <c r="W153" s="24"/>
      <c r="X153" s="28"/>
    </row>
    <row r="154" customFormat="false" ht="15" hidden="false" customHeight="false" outlineLevel="0" collapsed="false">
      <c r="A154" s="9" t="s">
        <v>450</v>
      </c>
      <c r="B154" s="9"/>
      <c r="C154" s="10" t="n">
        <v>45876</v>
      </c>
      <c r="D154" s="10" t="n">
        <v>45881</v>
      </c>
      <c r="E154" s="10" t="n">
        <v>45897</v>
      </c>
      <c r="F154" s="10"/>
      <c r="G154" s="11"/>
      <c r="H154" s="11"/>
      <c r="I154" s="11"/>
      <c r="J154" s="11"/>
      <c r="K154" s="11"/>
      <c r="L154" s="11" t="s">
        <v>28</v>
      </c>
      <c r="M154" s="15" t="s">
        <v>451</v>
      </c>
      <c r="N154" s="11"/>
      <c r="O154" s="11"/>
      <c r="P154" s="11"/>
      <c r="Q154" s="11"/>
      <c r="R154" s="11"/>
      <c r="S154" s="11"/>
      <c r="T154" s="12" t="n">
        <v>9950</v>
      </c>
      <c r="U154" s="13" t="s">
        <v>452</v>
      </c>
      <c r="V154" s="14" t="n">
        <v>83848240459</v>
      </c>
      <c r="W154" s="13" t="s">
        <v>105</v>
      </c>
    </row>
    <row r="155" customFormat="false" ht="15" hidden="false" customHeight="false" outlineLevel="0" collapsed="false">
      <c r="A155" s="9" t="s">
        <v>453</v>
      </c>
      <c r="B155" s="9" t="s">
        <v>33</v>
      </c>
      <c r="C155" s="10" t="n">
        <v>45624</v>
      </c>
      <c r="D155" s="10" t="n">
        <v>45635</v>
      </c>
      <c r="E155" s="10" t="n">
        <v>45636</v>
      </c>
      <c r="F155" s="10" t="n">
        <v>45666</v>
      </c>
      <c r="G155" s="10"/>
      <c r="H155" s="10"/>
      <c r="I155" s="11" t="s">
        <v>34</v>
      </c>
      <c r="J155" s="11"/>
      <c r="K155" s="11"/>
      <c r="L155" s="11" t="s">
        <v>24</v>
      </c>
      <c r="M155" s="11" t="s">
        <v>454</v>
      </c>
      <c r="N155" s="15" t="s">
        <v>455</v>
      </c>
      <c r="O155" s="11"/>
      <c r="P155" s="11"/>
      <c r="Q155" s="11"/>
      <c r="R155" s="11"/>
      <c r="S155" s="11"/>
      <c r="T155" s="12" t="n">
        <v>5000</v>
      </c>
      <c r="U155" s="13" t="s">
        <v>456</v>
      </c>
      <c r="V155" s="14" t="n">
        <v>27170390400</v>
      </c>
      <c r="W155" s="13"/>
    </row>
    <row r="156" customFormat="false" ht="15" hidden="false" customHeight="false" outlineLevel="0" collapsed="false">
      <c r="A156" s="9" t="s">
        <v>457</v>
      </c>
      <c r="B156" s="9"/>
      <c r="C156" s="10" t="n">
        <v>45875</v>
      </c>
      <c r="D156" s="10" t="n">
        <v>45881</v>
      </c>
      <c r="E156" s="10" t="n">
        <v>45897</v>
      </c>
      <c r="F156" s="10"/>
      <c r="G156" s="11"/>
      <c r="H156" s="11"/>
      <c r="I156" s="11"/>
      <c r="J156" s="11"/>
      <c r="K156" s="11"/>
      <c r="L156" s="11" t="s">
        <v>28</v>
      </c>
      <c r="M156" s="15" t="s">
        <v>458</v>
      </c>
      <c r="N156" s="11"/>
      <c r="O156" s="11"/>
      <c r="P156" s="10" t="n">
        <v>45965</v>
      </c>
      <c r="Q156" s="11" t="s">
        <v>40</v>
      </c>
      <c r="R156" s="11"/>
      <c r="S156" s="11"/>
      <c r="T156" s="12" t="n">
        <v>9829.92</v>
      </c>
      <c r="U156" s="13" t="s">
        <v>459</v>
      </c>
      <c r="V156" s="14" t="n">
        <v>2670273467</v>
      </c>
      <c r="W156" s="13"/>
    </row>
    <row r="157" customFormat="false" ht="15" hidden="false" customHeight="false" outlineLevel="0" collapsed="false">
      <c r="A157" s="9" t="s">
        <v>460</v>
      </c>
      <c r="B157" s="9"/>
      <c r="C157" s="10" t="n">
        <v>45674</v>
      </c>
      <c r="D157" s="10" t="n">
        <v>45687</v>
      </c>
      <c r="E157" s="10" t="n">
        <v>45708</v>
      </c>
      <c r="F157" s="10"/>
      <c r="G157" s="10" t="n">
        <v>45810</v>
      </c>
      <c r="H157" s="10" t="n">
        <v>45821</v>
      </c>
      <c r="I157" s="11" t="s">
        <v>34</v>
      </c>
      <c r="J157" s="11"/>
      <c r="K157" s="11"/>
      <c r="L157" s="11" t="s">
        <v>28</v>
      </c>
      <c r="M157" s="15" t="s">
        <v>461</v>
      </c>
      <c r="N157" s="11"/>
      <c r="O157" s="11" t="s">
        <v>34</v>
      </c>
      <c r="P157" s="11"/>
      <c r="Q157" s="11"/>
      <c r="R157" s="11"/>
      <c r="S157" s="11"/>
      <c r="T157" s="12" t="n">
        <v>6100</v>
      </c>
      <c r="U157" s="13" t="s">
        <v>462</v>
      </c>
      <c r="V157" s="14" t="n">
        <v>5864114456</v>
      </c>
      <c r="W157" s="13"/>
    </row>
    <row r="158" customFormat="false" ht="15" hidden="false" customHeight="false" outlineLevel="0" collapsed="false">
      <c r="A158" s="9" t="s">
        <v>463</v>
      </c>
      <c r="B158" s="9"/>
      <c r="C158" s="10" t="n">
        <v>45875</v>
      </c>
      <c r="D158" s="10" t="n">
        <v>45881</v>
      </c>
      <c r="E158" s="10" t="n">
        <v>45897</v>
      </c>
      <c r="F158" s="10"/>
      <c r="G158" s="11"/>
      <c r="H158" s="11"/>
      <c r="I158" s="11"/>
      <c r="J158" s="11"/>
      <c r="K158" s="11"/>
      <c r="L158" s="11" t="s">
        <v>28</v>
      </c>
      <c r="M158" s="15" t="s">
        <v>464</v>
      </c>
      <c r="N158" s="11"/>
      <c r="O158" s="11"/>
      <c r="P158" s="11"/>
      <c r="Q158" s="11"/>
      <c r="R158" s="11"/>
      <c r="S158" s="11"/>
      <c r="T158" s="12" t="n">
        <v>5000</v>
      </c>
      <c r="U158" s="13" t="s">
        <v>465</v>
      </c>
      <c r="V158" s="14" t="n">
        <v>7221198446</v>
      </c>
      <c r="W158" s="13" t="s">
        <v>105</v>
      </c>
    </row>
    <row r="159" customFormat="false" ht="15" hidden="false" customHeight="false" outlineLevel="0" collapsed="false">
      <c r="A159" s="9" t="s">
        <v>466</v>
      </c>
      <c r="B159" s="9" t="s">
        <v>33</v>
      </c>
      <c r="C159" s="10" t="n">
        <v>45728</v>
      </c>
      <c r="D159" s="10" t="n">
        <v>45730</v>
      </c>
      <c r="E159" s="10" t="n">
        <v>45736</v>
      </c>
      <c r="F159" s="10" t="n">
        <v>45748</v>
      </c>
      <c r="G159" s="11"/>
      <c r="H159" s="11"/>
      <c r="I159" s="11" t="s">
        <v>34</v>
      </c>
      <c r="J159" s="29" t="n">
        <v>1733.58</v>
      </c>
      <c r="K159" s="11" t="s">
        <v>34</v>
      </c>
      <c r="L159" s="11" t="s">
        <v>24</v>
      </c>
      <c r="M159" s="11" t="s">
        <v>467</v>
      </c>
      <c r="N159" s="11" t="s">
        <v>468</v>
      </c>
      <c r="O159" s="11"/>
      <c r="P159" s="11"/>
      <c r="Q159" s="11"/>
      <c r="R159" s="11"/>
      <c r="S159" s="11"/>
      <c r="T159" s="12" t="n">
        <v>49832.35</v>
      </c>
      <c r="U159" s="13" t="s">
        <v>469</v>
      </c>
      <c r="V159" s="14" t="n">
        <v>50149806434</v>
      </c>
      <c r="W159" s="13"/>
    </row>
    <row r="160" customFormat="false" ht="15" hidden="false" customHeight="false" outlineLevel="0" collapsed="false">
      <c r="A160" s="9" t="s">
        <v>470</v>
      </c>
      <c r="B160" s="9" t="s">
        <v>33</v>
      </c>
      <c r="C160" s="10" t="n">
        <v>45846</v>
      </c>
      <c r="D160" s="10" t="n">
        <v>45856</v>
      </c>
      <c r="E160" s="10" t="n">
        <v>45876</v>
      </c>
      <c r="F160" s="10"/>
      <c r="G160" s="11"/>
      <c r="H160" s="11"/>
      <c r="I160" s="11" t="s">
        <v>34</v>
      </c>
      <c r="J160" s="11"/>
      <c r="K160" s="11"/>
      <c r="L160" s="11" t="s">
        <v>28</v>
      </c>
      <c r="M160" s="15" t="s">
        <v>471</v>
      </c>
      <c r="N160" s="11"/>
      <c r="O160" s="11"/>
      <c r="P160" s="11"/>
      <c r="Q160" s="11"/>
      <c r="R160" s="11"/>
      <c r="S160" s="11"/>
      <c r="T160" s="12" t="n">
        <v>7600</v>
      </c>
      <c r="U160" s="13" t="s">
        <v>472</v>
      </c>
      <c r="V160" s="14" t="n">
        <v>56518757434</v>
      </c>
      <c r="W160" s="13"/>
    </row>
    <row r="161" customFormat="false" ht="15" hidden="false" customHeight="false" outlineLevel="0" collapsed="false">
      <c r="A161" s="9" t="s">
        <v>473</v>
      </c>
      <c r="B161" s="9"/>
      <c r="C161" s="10" t="n">
        <v>45840</v>
      </c>
      <c r="D161" s="10" t="n">
        <v>45845</v>
      </c>
      <c r="E161" s="10"/>
      <c r="F161" s="11"/>
      <c r="G161" s="11"/>
      <c r="H161" s="11"/>
      <c r="I161" s="11"/>
      <c r="J161" s="11"/>
      <c r="K161" s="11"/>
      <c r="L161" s="11" t="s">
        <v>218</v>
      </c>
      <c r="M161" s="11" t="s">
        <v>250</v>
      </c>
      <c r="N161" s="11"/>
      <c r="O161" s="11"/>
      <c r="P161" s="11"/>
      <c r="Q161" s="11"/>
      <c r="R161" s="11"/>
      <c r="S161" s="11"/>
      <c r="T161" s="12" t="n">
        <v>2964.7</v>
      </c>
      <c r="U161" s="13" t="s">
        <v>474</v>
      </c>
      <c r="V161" s="14" t="n">
        <v>83794662415</v>
      </c>
      <c r="W161" s="13"/>
    </row>
    <row r="162" customFormat="false" ht="15" hidden="false" customHeight="false" outlineLevel="0" collapsed="false">
      <c r="A162" s="9" t="s">
        <v>473</v>
      </c>
      <c r="B162" s="9"/>
      <c r="C162" s="10" t="n">
        <v>45840</v>
      </c>
      <c r="D162" s="10" t="n">
        <v>45845</v>
      </c>
      <c r="E162" s="10" t="n">
        <v>45854</v>
      </c>
      <c r="F162" s="10" t="n">
        <v>45856</v>
      </c>
      <c r="G162" s="11"/>
      <c r="H162" s="11"/>
      <c r="I162" s="11"/>
      <c r="J162" s="11"/>
      <c r="K162" s="11"/>
      <c r="L162" s="11" t="s">
        <v>218</v>
      </c>
      <c r="M162" s="11" t="s">
        <v>250</v>
      </c>
      <c r="N162" s="11"/>
      <c r="O162" s="11"/>
      <c r="P162" s="10"/>
      <c r="Q162" s="11"/>
      <c r="R162" s="11"/>
      <c r="S162" s="11"/>
      <c r="T162" s="12" t="n">
        <v>2964.7</v>
      </c>
      <c r="U162" s="13" t="s">
        <v>474</v>
      </c>
      <c r="V162" s="14" t="n">
        <v>83794662415</v>
      </c>
      <c r="W162" s="13" t="s">
        <v>105</v>
      </c>
    </row>
    <row r="163" customFormat="false" ht="15" hidden="false" customHeight="false" outlineLevel="0" collapsed="false">
      <c r="A163" s="9" t="s">
        <v>475</v>
      </c>
      <c r="B163" s="9"/>
      <c r="C163" s="10" t="n">
        <v>45784</v>
      </c>
      <c r="D163" s="10" t="n">
        <v>45790</v>
      </c>
      <c r="E163" s="10" t="n">
        <v>45798</v>
      </c>
      <c r="F163" s="10"/>
      <c r="G163" s="11"/>
      <c r="H163" s="11"/>
      <c r="I163" s="11"/>
      <c r="J163" s="11"/>
      <c r="K163" s="11"/>
      <c r="L163" s="11" t="s">
        <v>24</v>
      </c>
      <c r="M163" s="11" t="s">
        <v>25</v>
      </c>
      <c r="N163" s="11"/>
      <c r="O163" s="11"/>
      <c r="P163" s="11"/>
      <c r="Q163" s="11"/>
      <c r="R163" s="11"/>
      <c r="S163" s="11"/>
      <c r="T163" s="12" t="n">
        <v>3128</v>
      </c>
      <c r="U163" s="13" t="s">
        <v>476</v>
      </c>
      <c r="V163" s="14" t="n">
        <v>42362385787</v>
      </c>
      <c r="W163" s="13"/>
    </row>
    <row r="164" customFormat="false" ht="15" hidden="false" customHeight="false" outlineLevel="0" collapsed="false">
      <c r="A164" s="27" t="s">
        <v>108</v>
      </c>
      <c r="B164" s="9"/>
      <c r="C164" s="10" t="n">
        <v>45821</v>
      </c>
      <c r="D164" s="10" t="n">
        <v>45826</v>
      </c>
      <c r="E164" s="10" t="n">
        <v>45838</v>
      </c>
      <c r="F164" s="10"/>
      <c r="G164" s="11"/>
      <c r="H164" s="11"/>
      <c r="I164" s="11"/>
      <c r="J164" s="11"/>
      <c r="K164" s="11"/>
      <c r="L164" s="11" t="s">
        <v>24</v>
      </c>
      <c r="M164" s="11" t="s">
        <v>25</v>
      </c>
      <c r="N164" s="11"/>
      <c r="O164" s="11"/>
      <c r="P164" s="11"/>
      <c r="Q164" s="11"/>
      <c r="R164" s="11"/>
      <c r="S164" s="11"/>
      <c r="T164" s="12" t="n">
        <v>7100</v>
      </c>
      <c r="U164" s="13" t="s">
        <v>476</v>
      </c>
      <c r="V164" s="14" t="n">
        <v>42362385787</v>
      </c>
      <c r="W164" s="13"/>
    </row>
    <row r="165" customFormat="false" ht="15" hidden="false" customHeight="false" outlineLevel="0" collapsed="false">
      <c r="A165" s="27" t="s">
        <v>239</v>
      </c>
      <c r="B165" s="9"/>
      <c r="C165" s="10" t="n">
        <v>45636</v>
      </c>
      <c r="D165" s="10" t="n">
        <v>45687</v>
      </c>
      <c r="E165" s="10" t="n">
        <v>45709</v>
      </c>
      <c r="F165" s="11"/>
      <c r="G165" s="11"/>
      <c r="H165" s="11"/>
      <c r="I165" s="11"/>
      <c r="J165" s="11"/>
      <c r="K165" s="11"/>
      <c r="L165" s="11" t="s">
        <v>28</v>
      </c>
      <c r="M165" s="15" t="s">
        <v>477</v>
      </c>
      <c r="N165" s="11"/>
      <c r="O165" s="11"/>
      <c r="P165" s="11"/>
      <c r="Q165" s="11"/>
      <c r="R165" s="11"/>
      <c r="S165" s="11"/>
      <c r="T165" s="12" t="n">
        <v>7000</v>
      </c>
      <c r="U165" s="13" t="s">
        <v>478</v>
      </c>
      <c r="V165" s="14" t="n">
        <v>35813415491</v>
      </c>
      <c r="W165" s="13"/>
    </row>
    <row r="166" customFormat="false" ht="15" hidden="false" customHeight="false" outlineLevel="0" collapsed="false">
      <c r="A166" s="9" t="s">
        <v>479</v>
      </c>
      <c r="B166" s="9"/>
      <c r="C166" s="10" t="n">
        <v>45849</v>
      </c>
      <c r="D166" s="10" t="n">
        <v>45856</v>
      </c>
      <c r="E166" s="10" t="n">
        <v>45868</v>
      </c>
      <c r="F166" s="10" t="n">
        <v>45894</v>
      </c>
      <c r="G166" s="11"/>
      <c r="H166" s="11"/>
      <c r="I166" s="11"/>
      <c r="J166" s="11"/>
      <c r="K166" s="11"/>
      <c r="L166" s="11" t="s">
        <v>28</v>
      </c>
      <c r="M166" s="15" t="s">
        <v>464</v>
      </c>
      <c r="N166" s="11"/>
      <c r="O166" s="11"/>
      <c r="P166" s="10"/>
      <c r="Q166" s="11"/>
      <c r="R166" s="11"/>
      <c r="S166" s="11"/>
      <c r="T166" s="12" t="n">
        <v>14400</v>
      </c>
      <c r="U166" s="13" t="s">
        <v>480</v>
      </c>
      <c r="V166" s="14" t="n">
        <v>56557930400</v>
      </c>
      <c r="W166" s="13" t="s">
        <v>105</v>
      </c>
    </row>
    <row r="167" customFormat="false" ht="15" hidden="false" customHeight="false" outlineLevel="0" collapsed="false">
      <c r="A167" s="9" t="s">
        <v>481</v>
      </c>
      <c r="B167" s="9" t="s">
        <v>33</v>
      </c>
      <c r="C167" s="10" t="n">
        <v>45784</v>
      </c>
      <c r="D167" s="10" t="n">
        <v>45790</v>
      </c>
      <c r="E167" s="10" t="n">
        <v>45798</v>
      </c>
      <c r="F167" s="10"/>
      <c r="G167" s="11"/>
      <c r="H167" s="11"/>
      <c r="I167" s="11" t="s">
        <v>34</v>
      </c>
      <c r="J167" s="11"/>
      <c r="K167" s="11"/>
      <c r="L167" s="11" t="s">
        <v>24</v>
      </c>
      <c r="M167" s="11" t="s">
        <v>173</v>
      </c>
      <c r="N167" s="11"/>
      <c r="O167" s="11"/>
      <c r="P167" s="11"/>
      <c r="Q167" s="11"/>
      <c r="R167" s="11"/>
      <c r="S167" s="11"/>
      <c r="T167" s="12" t="n">
        <v>9632.88</v>
      </c>
      <c r="U167" s="13" t="s">
        <v>482</v>
      </c>
      <c r="V167" s="14" t="n">
        <v>15706141487</v>
      </c>
      <c r="W167" s="13"/>
    </row>
    <row r="168" customFormat="false" ht="15" hidden="false" customHeight="false" outlineLevel="0" collapsed="false">
      <c r="A168" s="9" t="s">
        <v>483</v>
      </c>
      <c r="B168" s="9"/>
      <c r="C168" s="10" t="n">
        <v>45784</v>
      </c>
      <c r="D168" s="10" t="n">
        <v>45790</v>
      </c>
      <c r="E168" s="10"/>
      <c r="F168" s="10" t="n">
        <v>45820</v>
      </c>
      <c r="G168" s="11"/>
      <c r="H168" s="11"/>
      <c r="I168" s="11"/>
      <c r="J168" s="11"/>
      <c r="K168" s="11"/>
      <c r="L168" s="11" t="s">
        <v>28</v>
      </c>
      <c r="M168" s="15" t="s">
        <v>484</v>
      </c>
      <c r="N168" s="11"/>
      <c r="O168" s="11"/>
      <c r="P168" s="10" t="n">
        <v>45807</v>
      </c>
      <c r="Q168" s="11" t="s">
        <v>40</v>
      </c>
      <c r="R168" s="11"/>
      <c r="S168" s="11"/>
      <c r="T168" s="12" t="n">
        <v>7509.8</v>
      </c>
      <c r="U168" s="13" t="s">
        <v>485</v>
      </c>
      <c r="V168" s="14" t="n">
        <v>1083240447</v>
      </c>
      <c r="W168" s="13"/>
    </row>
    <row r="169" customFormat="false" ht="15" hidden="false" customHeight="false" outlineLevel="0" collapsed="false">
      <c r="A169" s="9" t="s">
        <v>486</v>
      </c>
      <c r="B169" s="9"/>
      <c r="C169" s="10" t="n">
        <v>45673</v>
      </c>
      <c r="D169" s="10" t="n">
        <v>45681</v>
      </c>
      <c r="E169" s="10" t="n">
        <v>45691</v>
      </c>
      <c r="F169" s="10"/>
      <c r="G169" s="11"/>
      <c r="H169" s="11"/>
      <c r="I169" s="11"/>
      <c r="J169" s="11"/>
      <c r="K169" s="11"/>
      <c r="L169" s="11" t="s">
        <v>24</v>
      </c>
      <c r="M169" s="11" t="s">
        <v>25</v>
      </c>
      <c r="N169" s="11"/>
      <c r="O169" s="11"/>
      <c r="P169" s="11"/>
      <c r="Q169" s="11"/>
      <c r="R169" s="11"/>
      <c r="S169" s="11"/>
      <c r="T169" s="12" t="n">
        <v>4621.09</v>
      </c>
      <c r="U169" s="13" t="s">
        <v>487</v>
      </c>
      <c r="V169" s="14" t="n">
        <v>28925556472</v>
      </c>
      <c r="W169" s="13"/>
    </row>
    <row r="170" customFormat="false" ht="15" hidden="false" customHeight="false" outlineLevel="0" collapsed="false">
      <c r="A170" s="26" t="s">
        <v>488</v>
      </c>
      <c r="B170" s="26"/>
      <c r="C170" s="10" t="n">
        <v>45596</v>
      </c>
      <c r="D170" s="10" t="n">
        <v>45602</v>
      </c>
      <c r="E170" s="10" t="n">
        <v>45610</v>
      </c>
      <c r="F170" s="11"/>
      <c r="G170" s="11"/>
      <c r="H170" s="11"/>
      <c r="I170" s="11"/>
      <c r="J170" s="11"/>
      <c r="K170" s="11"/>
      <c r="L170" s="11" t="s">
        <v>28</v>
      </c>
      <c r="M170" s="15" t="s">
        <v>489</v>
      </c>
      <c r="N170" s="11"/>
      <c r="O170" s="11"/>
      <c r="P170" s="10" t="n">
        <v>45798</v>
      </c>
      <c r="Q170" s="11" t="s">
        <v>40</v>
      </c>
      <c r="R170" s="11"/>
      <c r="S170" s="11"/>
      <c r="T170" s="12" t="n">
        <v>9829.92</v>
      </c>
      <c r="U170" s="13" t="s">
        <v>490</v>
      </c>
      <c r="V170" s="14" t="n">
        <v>7165616462</v>
      </c>
      <c r="W170" s="13" t="s">
        <v>491</v>
      </c>
    </row>
    <row r="171" customFormat="false" ht="15" hidden="false" customHeight="false" outlineLevel="0" collapsed="false">
      <c r="A171" s="9" t="s">
        <v>492</v>
      </c>
      <c r="B171" s="9"/>
      <c r="C171" s="10" t="n">
        <v>45876</v>
      </c>
      <c r="D171" s="10" t="n">
        <v>45881</v>
      </c>
      <c r="E171" s="10" t="n">
        <v>45888</v>
      </c>
      <c r="F171" s="10"/>
      <c r="G171" s="11"/>
      <c r="H171" s="11"/>
      <c r="I171" s="11"/>
      <c r="J171" s="11"/>
      <c r="K171" s="11"/>
      <c r="L171" s="11" t="s">
        <v>24</v>
      </c>
      <c r="M171" s="11" t="s">
        <v>167</v>
      </c>
      <c r="N171" s="11"/>
      <c r="O171" s="11"/>
      <c r="P171" s="11"/>
      <c r="Q171" s="11"/>
      <c r="R171" s="11"/>
      <c r="S171" s="11"/>
      <c r="T171" s="12" t="n">
        <v>12600</v>
      </c>
      <c r="U171" s="13" t="s">
        <v>493</v>
      </c>
      <c r="V171" s="14" t="n">
        <v>42999979487</v>
      </c>
      <c r="W171" s="13"/>
    </row>
    <row r="172" customFormat="false" ht="15" hidden="false" customHeight="false" outlineLevel="0" collapsed="false">
      <c r="A172" s="9" t="s">
        <v>494</v>
      </c>
      <c r="B172" s="9" t="s">
        <v>33</v>
      </c>
      <c r="C172" s="10" t="n">
        <v>45875</v>
      </c>
      <c r="D172" s="10" t="n">
        <v>45881</v>
      </c>
      <c r="E172" s="10" t="n">
        <v>45888</v>
      </c>
      <c r="F172" s="10"/>
      <c r="G172" s="16" t="n">
        <v>46043</v>
      </c>
      <c r="H172" s="16" t="n">
        <v>46051</v>
      </c>
      <c r="I172" s="11" t="s">
        <v>34</v>
      </c>
      <c r="J172" s="11"/>
      <c r="K172" s="11"/>
      <c r="L172" s="11" t="s">
        <v>24</v>
      </c>
      <c r="M172" s="11" t="s">
        <v>167</v>
      </c>
      <c r="N172" s="11"/>
      <c r="O172" s="11"/>
      <c r="P172" s="11"/>
      <c r="Q172" s="11"/>
      <c r="R172" s="11"/>
      <c r="S172" s="11"/>
      <c r="T172" s="12" t="n">
        <v>5000</v>
      </c>
      <c r="U172" s="13" t="s">
        <v>493</v>
      </c>
      <c r="V172" s="14" t="n">
        <v>42999979487</v>
      </c>
      <c r="W172" s="13"/>
    </row>
    <row r="173" customFormat="false" ht="15" hidden="false" customHeight="false" outlineLevel="0" collapsed="false">
      <c r="A173" s="26" t="s">
        <v>495</v>
      </c>
      <c r="B173" s="26"/>
      <c r="C173" s="10" t="n">
        <v>45596</v>
      </c>
      <c r="D173" s="10" t="n">
        <v>45603</v>
      </c>
      <c r="E173" s="10" t="n">
        <v>45608</v>
      </c>
      <c r="F173" s="11"/>
      <c r="G173" s="10" t="n">
        <v>45730</v>
      </c>
      <c r="H173" s="10" t="n">
        <v>45736</v>
      </c>
      <c r="I173" s="11"/>
      <c r="J173" s="11"/>
      <c r="K173" s="11"/>
      <c r="L173" s="11" t="s">
        <v>24</v>
      </c>
      <c r="M173" s="11" t="s">
        <v>167</v>
      </c>
      <c r="N173" s="11"/>
      <c r="O173" s="11"/>
      <c r="P173" s="11"/>
      <c r="Q173" s="11"/>
      <c r="R173" s="11"/>
      <c r="S173" s="11" t="s">
        <v>33</v>
      </c>
      <c r="T173" s="12" t="n">
        <v>308.07</v>
      </c>
      <c r="U173" s="13" t="s">
        <v>496</v>
      </c>
      <c r="V173" s="14" t="n">
        <v>42999979487</v>
      </c>
      <c r="W173" s="13" t="s">
        <v>70</v>
      </c>
    </row>
    <row r="174" customFormat="false" ht="15" hidden="false" customHeight="false" outlineLevel="0" collapsed="false">
      <c r="A174" s="9" t="s">
        <v>497</v>
      </c>
      <c r="B174" s="9"/>
      <c r="C174" s="10" t="n">
        <v>45625</v>
      </c>
      <c r="D174" s="10" t="n">
        <v>45635</v>
      </c>
      <c r="E174" s="10" t="n">
        <v>45644</v>
      </c>
      <c r="F174" s="11"/>
      <c r="G174" s="11"/>
      <c r="H174" s="11"/>
      <c r="I174" s="11" t="s">
        <v>34</v>
      </c>
      <c r="J174" s="11"/>
      <c r="K174" s="11"/>
      <c r="L174" s="11" t="s">
        <v>24</v>
      </c>
      <c r="M174" s="11" t="s">
        <v>279</v>
      </c>
      <c r="N174" s="11"/>
      <c r="O174" s="11"/>
      <c r="P174" s="11"/>
      <c r="Q174" s="11"/>
      <c r="R174" s="11"/>
      <c r="S174" s="11"/>
      <c r="T174" s="12" t="n">
        <v>3000</v>
      </c>
      <c r="U174" s="13" t="s">
        <v>498</v>
      </c>
      <c r="V174" s="14" t="n">
        <v>42360463420</v>
      </c>
      <c r="W174" s="13" t="s">
        <v>499</v>
      </c>
    </row>
    <row r="175" customFormat="false" ht="15" hidden="false" customHeight="false" outlineLevel="0" collapsed="false">
      <c r="A175" s="27" t="s">
        <v>309</v>
      </c>
      <c r="B175" s="9" t="s">
        <v>33</v>
      </c>
      <c r="C175" s="10" t="n">
        <v>45674</v>
      </c>
      <c r="D175" s="10" t="n">
        <v>45687</v>
      </c>
      <c r="E175" s="10" t="n">
        <v>45692</v>
      </c>
      <c r="F175" s="10" t="n">
        <v>45699</v>
      </c>
      <c r="G175" s="10" t="n">
        <v>45800</v>
      </c>
      <c r="H175" s="10" t="n">
        <v>45806</v>
      </c>
      <c r="I175" s="11" t="s">
        <v>34</v>
      </c>
      <c r="J175" s="11"/>
      <c r="K175" s="11"/>
      <c r="L175" s="11" t="s">
        <v>24</v>
      </c>
      <c r="M175" s="11" t="s">
        <v>500</v>
      </c>
      <c r="N175" s="11" t="s">
        <v>501</v>
      </c>
      <c r="O175" s="11"/>
      <c r="P175" s="11"/>
      <c r="Q175" s="11"/>
      <c r="R175" s="11"/>
      <c r="S175" s="11"/>
      <c r="T175" s="12" t="n">
        <v>4816.44</v>
      </c>
      <c r="U175" s="13" t="s">
        <v>498</v>
      </c>
      <c r="V175" s="14" t="n">
        <v>42360463420</v>
      </c>
      <c r="W175" s="13"/>
    </row>
    <row r="176" customFormat="false" ht="15" hidden="false" customHeight="false" outlineLevel="0" collapsed="false">
      <c r="A176" s="9" t="s">
        <v>502</v>
      </c>
      <c r="B176" s="9"/>
      <c r="C176" s="10" t="n">
        <v>45848</v>
      </c>
      <c r="D176" s="10" t="n">
        <v>45854</v>
      </c>
      <c r="E176" s="10" t="n">
        <v>45876</v>
      </c>
      <c r="F176" s="10"/>
      <c r="G176" s="11"/>
      <c r="H176" s="11"/>
      <c r="I176" s="11"/>
      <c r="J176" s="11"/>
      <c r="K176" s="11"/>
      <c r="L176" s="11" t="s">
        <v>28</v>
      </c>
      <c r="M176" s="15" t="s">
        <v>503</v>
      </c>
      <c r="N176" s="11"/>
      <c r="O176" s="11"/>
      <c r="P176" s="10"/>
      <c r="Q176" s="11"/>
      <c r="R176" s="11"/>
      <c r="S176" s="11"/>
      <c r="T176" s="12" t="n">
        <v>1100</v>
      </c>
      <c r="U176" s="13" t="s">
        <v>504</v>
      </c>
      <c r="V176" s="14" t="n">
        <v>6432232406</v>
      </c>
      <c r="W176" s="13"/>
    </row>
    <row r="177" customFormat="false" ht="15" hidden="false" customHeight="false" outlineLevel="0" collapsed="false">
      <c r="A177" s="9" t="s">
        <v>505</v>
      </c>
      <c r="B177" s="9"/>
      <c r="C177" s="10" t="n">
        <v>45628</v>
      </c>
      <c r="D177" s="10" t="n">
        <v>45313</v>
      </c>
      <c r="E177" s="10" t="n">
        <v>45712</v>
      </c>
      <c r="F177" s="11"/>
      <c r="G177" s="11"/>
      <c r="H177" s="11"/>
      <c r="I177" s="11"/>
      <c r="J177" s="11"/>
      <c r="K177" s="11"/>
      <c r="L177" s="11" t="s">
        <v>28</v>
      </c>
      <c r="M177" s="15" t="s">
        <v>506</v>
      </c>
      <c r="N177" s="11"/>
      <c r="O177" s="11"/>
      <c r="P177" s="10" t="n">
        <v>45728</v>
      </c>
      <c r="Q177" s="11" t="s">
        <v>55</v>
      </c>
      <c r="R177" s="11"/>
      <c r="S177" s="11"/>
      <c r="T177" s="12" t="n">
        <v>1200</v>
      </c>
      <c r="U177" s="13" t="s">
        <v>507</v>
      </c>
      <c r="V177" s="14" t="n">
        <v>7293861478</v>
      </c>
      <c r="W177" s="13"/>
    </row>
    <row r="178" customFormat="false" ht="15" hidden="false" customHeight="false" outlineLevel="0" collapsed="false">
      <c r="A178" s="9" t="s">
        <v>508</v>
      </c>
      <c r="B178" s="9"/>
      <c r="C178" s="10" t="n">
        <v>45615</v>
      </c>
      <c r="D178" s="10" t="n">
        <v>45622</v>
      </c>
      <c r="E178" s="10"/>
      <c r="F178" s="10"/>
      <c r="G178" s="10" t="n">
        <v>45706</v>
      </c>
      <c r="H178" s="10" t="n">
        <v>45722</v>
      </c>
      <c r="I178" s="11"/>
      <c r="J178" s="11"/>
      <c r="K178" s="11"/>
      <c r="L178" s="11" t="s">
        <v>28</v>
      </c>
      <c r="M178" s="15" t="s">
        <v>509</v>
      </c>
      <c r="N178" s="11"/>
      <c r="O178" s="11"/>
      <c r="P178" s="11"/>
      <c r="Q178" s="11"/>
      <c r="R178" s="11"/>
      <c r="S178" s="11"/>
      <c r="T178" s="12" t="n">
        <v>1100</v>
      </c>
      <c r="U178" s="13" t="s">
        <v>507</v>
      </c>
      <c r="V178" s="14" t="n">
        <v>7293861478</v>
      </c>
      <c r="W178" s="13" t="s">
        <v>510</v>
      </c>
    </row>
    <row r="179" customFormat="false" ht="15" hidden="false" customHeight="false" outlineLevel="0" collapsed="false">
      <c r="A179" s="9" t="s">
        <v>511</v>
      </c>
      <c r="B179" s="9" t="s">
        <v>33</v>
      </c>
      <c r="C179" s="10" t="n">
        <v>45679</v>
      </c>
      <c r="D179" s="10" t="n">
        <v>45694</v>
      </c>
      <c r="E179" s="10" t="n">
        <v>45712</v>
      </c>
      <c r="F179" s="10"/>
      <c r="G179" s="10" t="n">
        <v>45817</v>
      </c>
      <c r="H179" s="10" t="n">
        <v>45834</v>
      </c>
      <c r="I179" s="11" t="s">
        <v>34</v>
      </c>
      <c r="J179" s="11"/>
      <c r="K179" s="11"/>
      <c r="L179" s="11" t="s">
        <v>28</v>
      </c>
      <c r="M179" s="15" t="s">
        <v>43</v>
      </c>
      <c r="N179" s="11"/>
      <c r="O179" s="11"/>
      <c r="P179" s="11"/>
      <c r="Q179" s="11"/>
      <c r="R179" s="11"/>
      <c r="S179" s="11"/>
      <c r="T179" s="12"/>
      <c r="U179" s="13"/>
      <c r="V179" s="14"/>
      <c r="W179" s="13"/>
    </row>
    <row r="180" customFormat="false" ht="15" hidden="false" customHeight="false" outlineLevel="0" collapsed="false">
      <c r="A180" s="9" t="s">
        <v>512</v>
      </c>
      <c r="B180" s="9"/>
      <c r="C180" s="10" t="n">
        <v>45887</v>
      </c>
      <c r="D180" s="10" t="n">
        <v>45895</v>
      </c>
      <c r="E180" s="10" t="n">
        <v>45915</v>
      </c>
      <c r="F180" s="10"/>
      <c r="G180" s="11"/>
      <c r="H180" s="11"/>
      <c r="I180" s="11"/>
      <c r="J180" s="11"/>
      <c r="K180" s="11"/>
      <c r="L180" s="11" t="s">
        <v>28</v>
      </c>
      <c r="M180" s="15" t="s">
        <v>513</v>
      </c>
      <c r="N180" s="11"/>
      <c r="O180" s="11"/>
      <c r="P180" s="11"/>
      <c r="Q180" s="11"/>
      <c r="R180" s="11"/>
      <c r="S180" s="11"/>
      <c r="T180" s="12" t="n">
        <v>2800</v>
      </c>
      <c r="U180" s="32" t="s">
        <v>514</v>
      </c>
      <c r="V180" s="32" t="n">
        <v>70158843487</v>
      </c>
      <c r="W180" s="13"/>
    </row>
    <row r="181" customFormat="false" ht="15" hidden="false" customHeight="false" outlineLevel="0" collapsed="false">
      <c r="A181" s="9" t="s">
        <v>515</v>
      </c>
      <c r="B181" s="9"/>
      <c r="C181" s="10" t="n">
        <v>45904</v>
      </c>
      <c r="D181" s="10" t="n">
        <v>45909</v>
      </c>
      <c r="E181" s="10" t="n">
        <v>45924</v>
      </c>
      <c r="F181" s="10"/>
      <c r="G181" s="11"/>
      <c r="H181" s="11"/>
      <c r="I181" s="11"/>
      <c r="J181" s="11"/>
      <c r="K181" s="11"/>
      <c r="L181" s="11" t="s">
        <v>28</v>
      </c>
      <c r="M181" s="15" t="s">
        <v>516</v>
      </c>
      <c r="N181" s="11"/>
      <c r="O181" s="11"/>
      <c r="P181" s="11"/>
      <c r="Q181" s="11"/>
      <c r="R181" s="11"/>
      <c r="S181" s="11"/>
      <c r="T181" s="12" t="n">
        <v>6175.54</v>
      </c>
      <c r="U181" s="13" t="s">
        <v>517</v>
      </c>
      <c r="V181" s="14" t="n">
        <v>8445307436</v>
      </c>
      <c r="W181" s="13"/>
    </row>
    <row r="182" customFormat="false" ht="15" hidden="false" customHeight="false" outlineLevel="0" collapsed="false">
      <c r="A182" s="9" t="s">
        <v>518</v>
      </c>
      <c r="B182" s="9"/>
      <c r="C182" s="10" t="n">
        <v>45903</v>
      </c>
      <c r="D182" s="10" t="n">
        <v>45909</v>
      </c>
      <c r="E182" s="10" t="n">
        <v>45915</v>
      </c>
      <c r="F182" s="10"/>
      <c r="G182" s="11"/>
      <c r="H182" s="11"/>
      <c r="I182" s="11"/>
      <c r="J182" s="11"/>
      <c r="K182" s="11"/>
      <c r="L182" s="11" t="s">
        <v>24</v>
      </c>
      <c r="M182" s="11" t="s">
        <v>229</v>
      </c>
      <c r="N182" s="11"/>
      <c r="O182" s="11"/>
      <c r="P182" s="11"/>
      <c r="Q182" s="11"/>
      <c r="R182" s="11"/>
      <c r="S182" s="11"/>
      <c r="T182" s="12" t="n">
        <v>5000</v>
      </c>
      <c r="U182" s="13" t="s">
        <v>519</v>
      </c>
      <c r="V182" s="13" t="n">
        <v>93742681400</v>
      </c>
      <c r="W182" s="13"/>
    </row>
    <row r="183" customFormat="false" ht="15" hidden="false" customHeight="false" outlineLevel="0" collapsed="false">
      <c r="A183" s="9" t="s">
        <v>520</v>
      </c>
      <c r="B183" s="9"/>
      <c r="C183" s="10" t="n">
        <v>45887</v>
      </c>
      <c r="D183" s="10" t="n">
        <v>45895</v>
      </c>
      <c r="E183" s="10" t="n">
        <v>45915</v>
      </c>
      <c r="F183" s="10"/>
      <c r="G183" s="11"/>
      <c r="H183" s="11"/>
      <c r="I183" s="11"/>
      <c r="J183" s="11"/>
      <c r="K183" s="11"/>
      <c r="L183" s="11" t="s">
        <v>28</v>
      </c>
      <c r="M183" s="15" t="s">
        <v>513</v>
      </c>
      <c r="N183" s="11"/>
      <c r="O183" s="11"/>
      <c r="P183" s="11"/>
      <c r="Q183" s="11"/>
      <c r="R183" s="11"/>
      <c r="S183" s="11"/>
      <c r="T183" s="12" t="n">
        <v>1000</v>
      </c>
      <c r="U183" s="13" t="s">
        <v>514</v>
      </c>
      <c r="V183" s="13" t="n">
        <v>70158843487</v>
      </c>
      <c r="W183" s="13"/>
    </row>
    <row r="184" customFormat="false" ht="15" hidden="false" customHeight="false" outlineLevel="0" collapsed="false">
      <c r="A184" s="9" t="s">
        <v>521</v>
      </c>
      <c r="B184" s="9"/>
      <c r="C184" s="10" t="n">
        <v>45898</v>
      </c>
      <c r="D184" s="10" t="n">
        <v>45897</v>
      </c>
      <c r="E184" s="10" t="n">
        <v>45939</v>
      </c>
      <c r="F184" s="10"/>
      <c r="G184" s="11"/>
      <c r="H184" s="11"/>
      <c r="I184" s="11"/>
      <c r="J184" s="11"/>
      <c r="K184" s="11"/>
      <c r="L184" s="11" t="s">
        <v>28</v>
      </c>
      <c r="M184" s="15" t="s">
        <v>522</v>
      </c>
      <c r="N184" s="11"/>
      <c r="O184" s="11"/>
      <c r="P184" s="11"/>
      <c r="Q184" s="11"/>
      <c r="R184" s="11"/>
      <c r="S184" s="11"/>
      <c r="T184" s="12" t="n">
        <v>3000</v>
      </c>
      <c r="U184" s="13" t="s">
        <v>523</v>
      </c>
      <c r="V184" s="14" t="n">
        <v>970933436</v>
      </c>
      <c r="W184" s="13"/>
    </row>
    <row r="185" customFormat="false" ht="15" hidden="false" customHeight="false" outlineLevel="0" collapsed="false">
      <c r="A185" s="9" t="s">
        <v>524</v>
      </c>
      <c r="B185" s="9"/>
      <c r="C185" s="10" t="n">
        <v>45903</v>
      </c>
      <c r="D185" s="10" t="n">
        <v>45909</v>
      </c>
      <c r="E185" s="10" t="n">
        <v>45915</v>
      </c>
      <c r="F185" s="10"/>
      <c r="G185" s="11"/>
      <c r="H185" s="11"/>
      <c r="I185" s="11"/>
      <c r="J185" s="11"/>
      <c r="K185" s="11"/>
      <c r="L185" s="11" t="s">
        <v>24</v>
      </c>
      <c r="M185" s="11" t="s">
        <v>25</v>
      </c>
      <c r="N185" s="11"/>
      <c r="O185" s="11"/>
      <c r="P185" s="11"/>
      <c r="Q185" s="11"/>
      <c r="R185" s="11"/>
      <c r="S185" s="11"/>
      <c r="T185" s="12" t="n">
        <v>42500</v>
      </c>
      <c r="U185" s="13" t="s">
        <v>525</v>
      </c>
      <c r="V185" s="14" t="n">
        <v>19936010400</v>
      </c>
      <c r="W185" s="13"/>
    </row>
    <row r="186" customFormat="false" ht="15" hidden="false" customHeight="false" outlineLevel="0" collapsed="false">
      <c r="A186" s="9" t="s">
        <v>526</v>
      </c>
      <c r="B186" s="9"/>
      <c r="C186" s="10" t="n">
        <v>45876</v>
      </c>
      <c r="D186" s="10" t="n">
        <v>45882</v>
      </c>
      <c r="E186" s="10" t="n">
        <v>45912</v>
      </c>
      <c r="F186" s="10"/>
      <c r="G186" s="11"/>
      <c r="H186" s="11"/>
      <c r="I186" s="11"/>
      <c r="J186" s="11"/>
      <c r="K186" s="11"/>
      <c r="L186" s="11" t="s">
        <v>28</v>
      </c>
      <c r="M186" s="15" t="s">
        <v>527</v>
      </c>
      <c r="N186" s="11"/>
      <c r="O186" s="11"/>
      <c r="P186" s="16" t="n">
        <v>45950</v>
      </c>
      <c r="Q186" s="11" t="s">
        <v>55</v>
      </c>
      <c r="R186" s="11"/>
      <c r="S186" s="11"/>
      <c r="T186" s="12" t="n">
        <v>5000</v>
      </c>
      <c r="U186" s="13" t="s">
        <v>528</v>
      </c>
      <c r="V186" s="14" t="n">
        <v>5556141401</v>
      </c>
      <c r="W186" s="13"/>
    </row>
    <row r="187" customFormat="false" ht="15" hidden="false" customHeight="false" outlineLevel="0" collapsed="false">
      <c r="A187" s="9" t="s">
        <v>529</v>
      </c>
      <c r="B187" s="9"/>
      <c r="C187" s="10" t="n">
        <v>45888</v>
      </c>
      <c r="D187" s="10" t="n">
        <v>45895</v>
      </c>
      <c r="E187" s="10" t="n">
        <v>45919</v>
      </c>
      <c r="F187" s="10"/>
      <c r="G187" s="11"/>
      <c r="H187" s="11"/>
      <c r="I187" s="11"/>
      <c r="J187" s="11"/>
      <c r="K187" s="11"/>
      <c r="L187" s="11" t="s">
        <v>28</v>
      </c>
      <c r="M187" s="2" t="s">
        <v>530</v>
      </c>
      <c r="N187" s="11"/>
      <c r="O187" s="11"/>
      <c r="P187" s="11"/>
      <c r="Q187" s="11"/>
      <c r="R187" s="11"/>
      <c r="S187" s="11"/>
      <c r="T187" s="12" t="n">
        <v>500</v>
      </c>
      <c r="U187" s="13" t="s">
        <v>531</v>
      </c>
      <c r="V187" s="14" t="n">
        <v>6248883475</v>
      </c>
      <c r="W187" s="13"/>
    </row>
    <row r="188" customFormat="false" ht="15" hidden="false" customHeight="false" outlineLevel="0" collapsed="false">
      <c r="A188" s="9" t="s">
        <v>532</v>
      </c>
      <c r="B188" s="9" t="s">
        <v>33</v>
      </c>
      <c r="C188" s="10" t="n">
        <v>45904</v>
      </c>
      <c r="D188" s="10" t="n">
        <v>45909</v>
      </c>
      <c r="E188" s="10" t="n">
        <v>45918</v>
      </c>
      <c r="F188" s="10"/>
      <c r="G188" s="11"/>
      <c r="H188" s="11"/>
      <c r="I188" s="11" t="s">
        <v>34</v>
      </c>
      <c r="J188" s="11"/>
      <c r="K188" s="11"/>
      <c r="L188" s="11" t="s">
        <v>24</v>
      </c>
      <c r="M188" s="11" t="s">
        <v>126</v>
      </c>
      <c r="N188" s="11"/>
      <c r="O188" s="11"/>
      <c r="P188" s="11"/>
      <c r="Q188" s="11"/>
      <c r="R188" s="11"/>
      <c r="S188" s="11"/>
      <c r="T188" s="12" t="n">
        <v>2212</v>
      </c>
      <c r="U188" s="13" t="s">
        <v>533</v>
      </c>
      <c r="V188" s="14" t="n">
        <v>50104411449</v>
      </c>
      <c r="W188" s="13"/>
    </row>
    <row r="189" customFormat="false" ht="15" hidden="false" customHeight="false" outlineLevel="0" collapsed="false">
      <c r="A189" s="9" t="s">
        <v>534</v>
      </c>
      <c r="B189" s="9"/>
      <c r="C189" s="10" t="n">
        <v>45915</v>
      </c>
      <c r="D189" s="10" t="n">
        <v>45918</v>
      </c>
      <c r="E189" s="10" t="n">
        <v>45925</v>
      </c>
      <c r="F189" s="10"/>
      <c r="G189" s="11"/>
      <c r="H189" s="11"/>
      <c r="I189" s="11"/>
      <c r="J189" s="11"/>
      <c r="K189" s="11"/>
      <c r="L189" s="11" t="s">
        <v>24</v>
      </c>
      <c r="M189" s="11" t="s">
        <v>25</v>
      </c>
      <c r="N189" s="11"/>
      <c r="O189" s="11"/>
      <c r="P189" s="11"/>
      <c r="Q189" s="11"/>
      <c r="R189" s="11"/>
      <c r="S189" s="11"/>
      <c r="T189" s="12" t="n">
        <v>1000</v>
      </c>
      <c r="U189" s="13" t="s">
        <v>535</v>
      </c>
      <c r="V189" s="14" t="n">
        <v>13006444434</v>
      </c>
      <c r="W189" s="13"/>
    </row>
    <row r="190" customFormat="false" ht="15" hidden="false" customHeight="false" outlineLevel="0" collapsed="false">
      <c r="A190" s="9" t="s">
        <v>536</v>
      </c>
      <c r="B190" s="9"/>
      <c r="C190" s="10" t="n">
        <v>45915</v>
      </c>
      <c r="D190" s="10" t="n">
        <v>45918</v>
      </c>
      <c r="E190" s="10" t="n">
        <v>45925</v>
      </c>
      <c r="F190" s="10"/>
      <c r="G190" s="11"/>
      <c r="H190" s="11"/>
      <c r="I190" s="11"/>
      <c r="J190" s="11"/>
      <c r="K190" s="11"/>
      <c r="L190" s="11" t="s">
        <v>24</v>
      </c>
      <c r="M190" s="11" t="s">
        <v>25</v>
      </c>
      <c r="N190" s="11"/>
      <c r="O190" s="11"/>
      <c r="P190" s="11"/>
      <c r="Q190" s="11"/>
      <c r="R190" s="11"/>
      <c r="S190" s="11"/>
      <c r="T190" s="12" t="n">
        <v>8864.15</v>
      </c>
      <c r="U190" s="32" t="s">
        <v>535</v>
      </c>
      <c r="V190" s="32" t="n">
        <v>13006444434</v>
      </c>
      <c r="W190" s="13"/>
    </row>
    <row r="191" customFormat="false" ht="15" hidden="false" customHeight="false" outlineLevel="0" collapsed="false">
      <c r="A191" s="9" t="s">
        <v>537</v>
      </c>
      <c r="B191" s="9"/>
      <c r="C191" s="10" t="n">
        <v>45915</v>
      </c>
      <c r="D191" s="10" t="n">
        <v>45918</v>
      </c>
      <c r="E191" s="10" t="n">
        <v>45925</v>
      </c>
      <c r="F191" s="10"/>
      <c r="G191" s="11"/>
      <c r="H191" s="11"/>
      <c r="I191" s="11"/>
      <c r="J191" s="11"/>
      <c r="K191" s="11"/>
      <c r="L191" s="11" t="s">
        <v>24</v>
      </c>
      <c r="M191" s="11" t="s">
        <v>25</v>
      </c>
      <c r="N191" s="11"/>
      <c r="O191" s="11"/>
      <c r="P191" s="11"/>
      <c r="Q191" s="11"/>
      <c r="R191" s="11"/>
      <c r="S191" s="11"/>
      <c r="T191" s="12" t="n">
        <v>8864.15</v>
      </c>
      <c r="U191" s="32" t="s">
        <v>535</v>
      </c>
      <c r="V191" s="32" t="n">
        <v>13006444434</v>
      </c>
      <c r="W191" s="13"/>
    </row>
    <row r="192" customFormat="false" ht="15" hidden="false" customHeight="false" outlineLevel="0" collapsed="false">
      <c r="A192" s="9" t="s">
        <v>538</v>
      </c>
      <c r="B192" s="9"/>
      <c r="C192" s="10" t="n">
        <v>45912</v>
      </c>
      <c r="D192" s="10" t="n">
        <v>45918</v>
      </c>
      <c r="E192" s="10" t="n">
        <v>45925</v>
      </c>
      <c r="F192" s="10"/>
      <c r="G192" s="11"/>
      <c r="H192" s="11"/>
      <c r="I192" s="11"/>
      <c r="J192" s="11"/>
      <c r="K192" s="11"/>
      <c r="L192" s="11" t="s">
        <v>24</v>
      </c>
      <c r="M192" s="11" t="s">
        <v>25</v>
      </c>
      <c r="N192" s="11"/>
      <c r="O192" s="11"/>
      <c r="P192" s="11"/>
      <c r="Q192" s="11"/>
      <c r="R192" s="11"/>
      <c r="S192" s="11"/>
      <c r="T192" s="12" t="n">
        <v>8864.15</v>
      </c>
      <c r="U192" s="32" t="s">
        <v>535</v>
      </c>
      <c r="V192" s="32" t="n">
        <v>13006444434</v>
      </c>
      <c r="W192" s="13"/>
    </row>
    <row r="193" customFormat="false" ht="15" hidden="false" customHeight="false" outlineLevel="0" collapsed="false">
      <c r="A193" s="9" t="s">
        <v>539</v>
      </c>
      <c r="B193" s="9"/>
      <c r="C193" s="10" t="n">
        <v>45915</v>
      </c>
      <c r="D193" s="10" t="n">
        <v>45918</v>
      </c>
      <c r="E193" s="10" t="n">
        <v>45925</v>
      </c>
      <c r="F193" s="10"/>
      <c r="G193" s="11"/>
      <c r="H193" s="11"/>
      <c r="I193" s="11"/>
      <c r="J193" s="11"/>
      <c r="K193" s="11"/>
      <c r="L193" s="11" t="s">
        <v>24</v>
      </c>
      <c r="M193" s="11" t="s">
        <v>25</v>
      </c>
      <c r="N193" s="11"/>
      <c r="O193" s="11"/>
      <c r="P193" s="11"/>
      <c r="Q193" s="11"/>
      <c r="R193" s="11"/>
      <c r="S193" s="11"/>
      <c r="T193" s="12" t="n">
        <v>8864.15</v>
      </c>
      <c r="U193" s="32" t="s">
        <v>535</v>
      </c>
      <c r="V193" s="32" t="n">
        <v>13006444434</v>
      </c>
      <c r="W193" s="13"/>
    </row>
    <row r="194" customFormat="false" ht="15" hidden="false" customHeight="false" outlineLevel="0" collapsed="false">
      <c r="A194" s="9" t="s">
        <v>540</v>
      </c>
      <c r="B194" s="9"/>
      <c r="C194" s="10" t="n">
        <v>45915</v>
      </c>
      <c r="D194" s="10" t="n">
        <v>45918</v>
      </c>
      <c r="E194" s="10" t="n">
        <v>45925</v>
      </c>
      <c r="F194" s="10"/>
      <c r="G194" s="11"/>
      <c r="H194" s="11"/>
      <c r="I194" s="11"/>
      <c r="J194" s="11"/>
      <c r="K194" s="11"/>
      <c r="L194" s="11" t="s">
        <v>24</v>
      </c>
      <c r="M194" s="11" t="s">
        <v>25</v>
      </c>
      <c r="N194" s="11"/>
      <c r="O194" s="11"/>
      <c r="P194" s="11"/>
      <c r="Q194" s="11"/>
      <c r="R194" s="11"/>
      <c r="S194" s="11"/>
      <c r="T194" s="12" t="n">
        <v>8864.15</v>
      </c>
      <c r="U194" s="32" t="s">
        <v>535</v>
      </c>
      <c r="V194" s="33" t="n">
        <v>13006444434</v>
      </c>
      <c r="W194" s="13"/>
    </row>
    <row r="195" customFormat="false" ht="15" hidden="false" customHeight="false" outlineLevel="0" collapsed="false">
      <c r="A195" s="9" t="s">
        <v>541</v>
      </c>
      <c r="B195" s="9" t="s">
        <v>33</v>
      </c>
      <c r="C195" s="10" t="n">
        <v>45903</v>
      </c>
      <c r="D195" s="10" t="n">
        <v>45909</v>
      </c>
      <c r="E195" s="10" t="n">
        <v>45943</v>
      </c>
      <c r="F195" s="10"/>
      <c r="G195" s="11"/>
      <c r="H195" s="11"/>
      <c r="I195" s="11" t="s">
        <v>34</v>
      </c>
      <c r="J195" s="11"/>
      <c r="K195" s="11"/>
      <c r="L195" s="11" t="s">
        <v>28</v>
      </c>
      <c r="M195" s="15" t="s">
        <v>542</v>
      </c>
      <c r="N195" s="11"/>
      <c r="O195" s="11"/>
      <c r="P195" s="11"/>
      <c r="Q195" s="11"/>
      <c r="R195" s="11"/>
      <c r="S195" s="11"/>
      <c r="T195" s="12" t="n">
        <v>5318.49</v>
      </c>
      <c r="U195" s="32" t="s">
        <v>543</v>
      </c>
      <c r="V195" s="14" t="n">
        <v>6432232406</v>
      </c>
      <c r="W195" s="13"/>
    </row>
    <row r="196" customFormat="false" ht="15" hidden="false" customHeight="false" outlineLevel="0" collapsed="false">
      <c r="A196" s="9" t="s">
        <v>544</v>
      </c>
      <c r="B196" s="9"/>
      <c r="C196" s="10" t="n">
        <v>45876</v>
      </c>
      <c r="D196" s="10"/>
      <c r="E196" s="10"/>
      <c r="F196" s="10"/>
      <c r="G196" s="11"/>
      <c r="H196" s="11"/>
      <c r="I196" s="11"/>
      <c r="J196" s="11"/>
      <c r="K196" s="11"/>
      <c r="L196" s="11" t="s">
        <v>28</v>
      </c>
      <c r="M196" s="15" t="s">
        <v>545</v>
      </c>
      <c r="N196" s="11"/>
      <c r="O196" s="11"/>
      <c r="P196" s="16" t="n">
        <v>45901</v>
      </c>
      <c r="Q196" s="11" t="s">
        <v>40</v>
      </c>
      <c r="R196" s="11"/>
      <c r="S196" s="11"/>
      <c r="T196" s="12" t="n">
        <v>11400</v>
      </c>
      <c r="U196" s="32" t="s">
        <v>546</v>
      </c>
      <c r="V196" s="14" t="n">
        <v>20219520453</v>
      </c>
      <c r="W196" s="13"/>
    </row>
    <row r="197" customFormat="false" ht="15" hidden="false" customHeight="false" outlineLevel="0" collapsed="false">
      <c r="A197" s="9" t="s">
        <v>547</v>
      </c>
      <c r="B197" s="9"/>
      <c r="C197" s="10" t="n">
        <v>45904</v>
      </c>
      <c r="D197" s="10" t="n">
        <v>45911</v>
      </c>
      <c r="E197" s="10" t="n">
        <v>45930</v>
      </c>
      <c r="F197" s="10"/>
      <c r="G197" s="11"/>
      <c r="H197" s="11"/>
      <c r="I197" s="11"/>
      <c r="J197" s="11"/>
      <c r="K197" s="11"/>
      <c r="L197" s="11" t="s">
        <v>28</v>
      </c>
      <c r="M197" s="15" t="s">
        <v>548</v>
      </c>
      <c r="N197" s="11"/>
      <c r="O197" s="11"/>
      <c r="P197" s="11"/>
      <c r="Q197" s="11"/>
      <c r="R197" s="11"/>
      <c r="S197" s="11"/>
      <c r="T197" s="12" t="n">
        <v>6300</v>
      </c>
      <c r="U197" s="32" t="s">
        <v>549</v>
      </c>
      <c r="V197" s="14" t="n">
        <v>2197374443</v>
      </c>
      <c r="W197" s="13"/>
    </row>
    <row r="198" customFormat="false" ht="15" hidden="false" customHeight="false" outlineLevel="0" collapsed="false">
      <c r="A198" s="9" t="s">
        <v>550</v>
      </c>
      <c r="B198" s="9"/>
      <c r="C198" s="10" t="n">
        <v>45608</v>
      </c>
      <c r="D198" s="10" t="n">
        <v>45622</v>
      </c>
      <c r="E198" s="10" t="n">
        <v>45625</v>
      </c>
      <c r="F198" s="10"/>
      <c r="G198" s="16" t="n">
        <v>45810</v>
      </c>
      <c r="H198" s="16" t="n">
        <v>45817</v>
      </c>
      <c r="I198" s="11"/>
      <c r="J198" s="11"/>
      <c r="K198" s="11"/>
      <c r="L198" s="11" t="s">
        <v>24</v>
      </c>
      <c r="M198" s="11" t="s">
        <v>25</v>
      </c>
      <c r="N198" s="11"/>
      <c r="O198" s="11"/>
      <c r="P198" s="11"/>
      <c r="Q198" s="11"/>
      <c r="R198" s="11"/>
      <c r="S198" s="11"/>
      <c r="T198" s="12" t="n">
        <v>34620</v>
      </c>
      <c r="U198" s="32" t="s">
        <v>525</v>
      </c>
      <c r="V198" s="14" t="n">
        <v>19936010400</v>
      </c>
      <c r="W198" s="13"/>
    </row>
    <row r="199" customFormat="false" ht="15" hidden="false" customHeight="false" outlineLevel="0" collapsed="false">
      <c r="A199" s="9" t="s">
        <v>551</v>
      </c>
      <c r="B199" s="9"/>
      <c r="C199" s="10" t="n">
        <v>45915</v>
      </c>
      <c r="D199" s="10" t="n">
        <v>45924</v>
      </c>
      <c r="E199" s="10" t="n">
        <v>45936</v>
      </c>
      <c r="F199" s="10"/>
      <c r="G199" s="11"/>
      <c r="H199" s="11"/>
      <c r="I199" s="11"/>
      <c r="J199" s="11"/>
      <c r="K199" s="11"/>
      <c r="L199" s="11" t="s">
        <v>24</v>
      </c>
      <c r="M199" s="11" t="s">
        <v>25</v>
      </c>
      <c r="N199" s="11"/>
      <c r="O199" s="11"/>
      <c r="P199" s="11"/>
      <c r="Q199" s="11"/>
      <c r="R199" s="11"/>
      <c r="S199" s="11"/>
      <c r="T199" s="12" t="n">
        <v>8027.4</v>
      </c>
      <c r="U199" s="32" t="s">
        <v>535</v>
      </c>
      <c r="V199" s="14" t="n">
        <v>13006444434</v>
      </c>
      <c r="W199" s="13"/>
    </row>
    <row r="200" customFormat="false" ht="15" hidden="false" customHeight="false" outlineLevel="0" collapsed="false">
      <c r="A200" s="9" t="s">
        <v>552</v>
      </c>
      <c r="B200" s="9"/>
      <c r="C200" s="10" t="n">
        <v>45915</v>
      </c>
      <c r="D200" s="10" t="n">
        <v>45924</v>
      </c>
      <c r="E200" s="10" t="n">
        <v>45932</v>
      </c>
      <c r="F200" s="10"/>
      <c r="G200" s="11"/>
      <c r="H200" s="11"/>
      <c r="I200" s="11"/>
      <c r="J200" s="11"/>
      <c r="K200" s="11"/>
      <c r="L200" s="11" t="s">
        <v>24</v>
      </c>
      <c r="M200" s="11" t="s">
        <v>25</v>
      </c>
      <c r="N200" s="11"/>
      <c r="O200" s="11"/>
      <c r="P200" s="11"/>
      <c r="Q200" s="11"/>
      <c r="R200" s="11"/>
      <c r="S200" s="11"/>
      <c r="T200" s="12" t="n">
        <v>8027.4</v>
      </c>
      <c r="U200" s="32" t="s">
        <v>535</v>
      </c>
      <c r="V200" s="14" t="n">
        <v>13006444434</v>
      </c>
      <c r="W200" s="13"/>
    </row>
    <row r="201" customFormat="false" ht="15" hidden="false" customHeight="false" outlineLevel="0" collapsed="false">
      <c r="A201" s="9" t="s">
        <v>553</v>
      </c>
      <c r="B201" s="9"/>
      <c r="C201" s="10" t="n">
        <v>45916</v>
      </c>
      <c r="D201" s="10" t="n">
        <v>45924</v>
      </c>
      <c r="E201" s="10" t="n">
        <v>45932</v>
      </c>
      <c r="F201" s="10"/>
      <c r="G201" s="11"/>
      <c r="H201" s="11"/>
      <c r="I201" s="11"/>
      <c r="J201" s="11"/>
      <c r="K201" s="11"/>
      <c r="L201" s="11" t="s">
        <v>24</v>
      </c>
      <c r="M201" s="11" t="s">
        <v>25</v>
      </c>
      <c r="N201" s="11"/>
      <c r="O201" s="11"/>
      <c r="P201" s="11"/>
      <c r="Q201" s="11"/>
      <c r="R201" s="11"/>
      <c r="S201" s="11"/>
      <c r="T201" s="12" t="n">
        <v>8864.15</v>
      </c>
      <c r="U201" s="32" t="s">
        <v>554</v>
      </c>
      <c r="V201" s="14" t="n">
        <v>13006444434</v>
      </c>
      <c r="W201" s="13"/>
    </row>
    <row r="202" customFormat="false" ht="15" hidden="false" customHeight="false" outlineLevel="0" collapsed="false">
      <c r="A202" s="9" t="s">
        <v>555</v>
      </c>
      <c r="B202" s="9"/>
      <c r="C202" s="10" t="n">
        <v>45849</v>
      </c>
      <c r="D202" s="10" t="n">
        <v>45856</v>
      </c>
      <c r="E202" s="10" t="n">
        <v>45880</v>
      </c>
      <c r="F202" s="10" t="n">
        <v>45960</v>
      </c>
      <c r="G202" s="11"/>
      <c r="H202" s="11"/>
      <c r="I202" s="11"/>
      <c r="J202" s="11"/>
      <c r="K202" s="11"/>
      <c r="L202" s="11" t="s">
        <v>28</v>
      </c>
      <c r="M202" s="15" t="s">
        <v>556</v>
      </c>
      <c r="N202" s="11"/>
      <c r="O202" s="11"/>
      <c r="P202" s="11"/>
      <c r="Q202" s="11"/>
      <c r="R202" s="11"/>
      <c r="S202" s="11"/>
      <c r="T202" s="12" t="n">
        <v>5000</v>
      </c>
      <c r="U202" s="32" t="s">
        <v>557</v>
      </c>
      <c r="V202" s="14" t="n">
        <v>36912247415</v>
      </c>
      <c r="W202" s="13" t="s">
        <v>558</v>
      </c>
    </row>
    <row r="203" customFormat="false" ht="15" hidden="false" customHeight="false" outlineLevel="0" collapsed="false">
      <c r="A203" s="9" t="s">
        <v>559</v>
      </c>
      <c r="B203" s="9" t="s">
        <v>33</v>
      </c>
      <c r="C203" s="10" t="n">
        <v>45622</v>
      </c>
      <c r="D203" s="10" t="n">
        <v>45625</v>
      </c>
      <c r="E203" s="10" t="n">
        <v>45631</v>
      </c>
      <c r="F203" s="10"/>
      <c r="G203" s="16" t="n">
        <v>45924</v>
      </c>
      <c r="H203" s="16" t="n">
        <v>45932</v>
      </c>
      <c r="I203" s="11" t="s">
        <v>34</v>
      </c>
      <c r="J203" s="11"/>
      <c r="K203" s="11"/>
      <c r="L203" s="11" t="s">
        <v>24</v>
      </c>
      <c r="M203" s="11" t="s">
        <v>25</v>
      </c>
      <c r="N203" s="11"/>
      <c r="O203" s="11"/>
      <c r="P203" s="11"/>
      <c r="Q203" s="11"/>
      <c r="R203" s="11"/>
      <c r="S203" s="11"/>
      <c r="T203" s="12" t="n">
        <v>10000</v>
      </c>
      <c r="U203" s="32" t="s">
        <v>560</v>
      </c>
      <c r="V203" s="14" t="n">
        <v>3746829410</v>
      </c>
      <c r="W203" s="13"/>
    </row>
    <row r="204" customFormat="false" ht="15" hidden="false" customHeight="false" outlineLevel="0" collapsed="false">
      <c r="A204" s="9" t="s">
        <v>561</v>
      </c>
      <c r="B204" s="9"/>
      <c r="C204" s="10" t="n">
        <v>45939</v>
      </c>
      <c r="D204" s="10" t="n">
        <v>45944</v>
      </c>
      <c r="E204" s="10" t="n">
        <v>45971</v>
      </c>
      <c r="F204" s="10"/>
      <c r="G204" s="11"/>
      <c r="H204" s="11"/>
      <c r="I204" s="11"/>
      <c r="J204" s="11"/>
      <c r="K204" s="11"/>
      <c r="L204" s="11" t="s">
        <v>28</v>
      </c>
      <c r="M204" s="15" t="s">
        <v>308</v>
      </c>
      <c r="N204" s="11"/>
      <c r="O204" s="11"/>
      <c r="P204" s="16" t="n">
        <v>46048</v>
      </c>
      <c r="Q204" s="11" t="s">
        <v>40</v>
      </c>
      <c r="R204" s="11"/>
      <c r="S204" s="11"/>
      <c r="T204" s="12" t="n">
        <v>9589.27</v>
      </c>
      <c r="U204" s="32" t="s">
        <v>562</v>
      </c>
      <c r="V204" s="14" t="n">
        <v>82484856172</v>
      </c>
      <c r="W204" s="13"/>
    </row>
    <row r="205" customFormat="false" ht="15" hidden="false" customHeight="false" outlineLevel="0" collapsed="false">
      <c r="A205" s="9" t="s">
        <v>563</v>
      </c>
      <c r="B205" s="9"/>
      <c r="C205" s="10" t="n">
        <v>45939</v>
      </c>
      <c r="D205" s="10" t="n">
        <v>45944</v>
      </c>
      <c r="E205" s="10" t="n">
        <v>45952</v>
      </c>
      <c r="F205" s="10"/>
      <c r="G205" s="11"/>
      <c r="H205" s="11"/>
      <c r="I205" s="11"/>
      <c r="J205" s="11"/>
      <c r="K205" s="11"/>
      <c r="L205" s="11" t="s">
        <v>24</v>
      </c>
      <c r="M205" s="11" t="s">
        <v>25</v>
      </c>
      <c r="N205" s="11"/>
      <c r="O205" s="11"/>
      <c r="P205" s="11"/>
      <c r="Q205" s="11"/>
      <c r="R205" s="11"/>
      <c r="S205" s="11"/>
      <c r="T205" s="12" t="n">
        <v>2000</v>
      </c>
      <c r="U205" s="32" t="s">
        <v>564</v>
      </c>
      <c r="V205" s="14" t="n">
        <v>10710990430</v>
      </c>
      <c r="W205" s="13"/>
    </row>
    <row r="206" customFormat="false" ht="15" hidden="false" customHeight="false" outlineLevel="0" collapsed="false">
      <c r="A206" s="9" t="s">
        <v>565</v>
      </c>
      <c r="B206" s="9" t="s">
        <v>33</v>
      </c>
      <c r="C206" s="10" t="n">
        <v>45939</v>
      </c>
      <c r="D206" s="10" t="n">
        <v>45944</v>
      </c>
      <c r="E206" s="10" t="n">
        <v>45951</v>
      </c>
      <c r="F206" s="10"/>
      <c r="G206" s="11"/>
      <c r="H206" s="11"/>
      <c r="I206" s="11" t="s">
        <v>34</v>
      </c>
      <c r="J206" s="11"/>
      <c r="K206" s="11"/>
      <c r="L206" s="11" t="s">
        <v>24</v>
      </c>
      <c r="M206" s="11" t="s">
        <v>109</v>
      </c>
      <c r="N206" s="11"/>
      <c r="O206" s="11"/>
      <c r="P206" s="11"/>
      <c r="Q206" s="11"/>
      <c r="R206" s="11"/>
      <c r="S206" s="11"/>
      <c r="T206" s="12" t="n">
        <v>31800</v>
      </c>
      <c r="U206" s="32" t="s">
        <v>566</v>
      </c>
      <c r="V206" s="14" t="n">
        <v>83749837449</v>
      </c>
      <c r="W206" s="13"/>
    </row>
    <row r="207" customFormat="false" ht="15" hidden="false" customHeight="false" outlineLevel="0" collapsed="false">
      <c r="A207" s="9" t="s">
        <v>567</v>
      </c>
      <c r="B207" s="9"/>
      <c r="C207" s="10" t="n">
        <v>45939</v>
      </c>
      <c r="D207" s="10" t="n">
        <v>45944</v>
      </c>
      <c r="E207" s="10" t="n">
        <v>45958</v>
      </c>
      <c r="F207" s="10"/>
      <c r="G207" s="11"/>
      <c r="H207" s="11"/>
      <c r="I207" s="11"/>
      <c r="J207" s="11"/>
      <c r="K207" s="11"/>
      <c r="L207" s="11"/>
      <c r="M207" s="11" t="s">
        <v>568</v>
      </c>
      <c r="N207" s="11"/>
      <c r="O207" s="11"/>
      <c r="P207" s="11"/>
      <c r="Q207" s="11"/>
      <c r="R207" s="11"/>
      <c r="S207" s="11"/>
      <c r="T207" s="12" t="n">
        <v>2000</v>
      </c>
      <c r="U207" s="32" t="s">
        <v>569</v>
      </c>
      <c r="V207" s="14" t="n">
        <v>7171009440</v>
      </c>
      <c r="W207" s="13"/>
    </row>
    <row r="208" customFormat="false" ht="15" hidden="false" customHeight="false" outlineLevel="0" collapsed="false">
      <c r="A208" s="9" t="s">
        <v>570</v>
      </c>
      <c r="B208" s="9" t="s">
        <v>33</v>
      </c>
      <c r="C208" s="10" t="n">
        <v>45939</v>
      </c>
      <c r="D208" s="10" t="n">
        <v>45944</v>
      </c>
      <c r="E208" s="10" t="n">
        <v>45953</v>
      </c>
      <c r="F208" s="10"/>
      <c r="G208" s="11"/>
      <c r="H208" s="11"/>
      <c r="I208" s="11" t="s">
        <v>34</v>
      </c>
      <c r="J208" s="11"/>
      <c r="K208" s="11"/>
      <c r="L208" s="11" t="s">
        <v>24</v>
      </c>
      <c r="M208" s="11" t="s">
        <v>25</v>
      </c>
      <c r="N208" s="11"/>
      <c r="O208" s="11"/>
      <c r="P208" s="11"/>
      <c r="Q208" s="11"/>
      <c r="R208" s="11"/>
      <c r="S208" s="11"/>
      <c r="T208" s="12" t="n">
        <v>13700</v>
      </c>
      <c r="U208" s="32" t="s">
        <v>571</v>
      </c>
      <c r="V208" s="14" t="n">
        <v>37824023400</v>
      </c>
      <c r="W208" s="13"/>
    </row>
    <row r="209" customFormat="false" ht="15" hidden="false" customHeight="false" outlineLevel="0" collapsed="false">
      <c r="A209" s="9" t="s">
        <v>572</v>
      </c>
      <c r="B209" s="9" t="s">
        <v>33</v>
      </c>
      <c r="C209" s="10" t="n">
        <v>45887</v>
      </c>
      <c r="D209" s="10" t="n">
        <v>45895</v>
      </c>
      <c r="E209" s="10" t="n">
        <v>45922</v>
      </c>
      <c r="F209" s="10" t="n">
        <v>45946</v>
      </c>
      <c r="G209" s="11"/>
      <c r="H209" s="11"/>
      <c r="I209" s="11" t="s">
        <v>34</v>
      </c>
      <c r="J209" s="11"/>
      <c r="K209" s="11"/>
      <c r="L209" s="11" t="s">
        <v>28</v>
      </c>
      <c r="M209" s="15" t="s">
        <v>573</v>
      </c>
      <c r="N209" s="11"/>
      <c r="O209" s="11"/>
      <c r="P209" s="11"/>
      <c r="Q209" s="11"/>
      <c r="R209" s="11"/>
      <c r="S209" s="11"/>
      <c r="T209" s="12" t="n">
        <v>15299.98</v>
      </c>
      <c r="U209" s="32" t="s">
        <v>574</v>
      </c>
      <c r="V209" s="14" t="n">
        <v>81327862468</v>
      </c>
      <c r="W209" s="13"/>
    </row>
    <row r="210" customFormat="false" ht="15" hidden="false" customHeight="false" outlineLevel="0" collapsed="false">
      <c r="A210" s="9" t="s">
        <v>575</v>
      </c>
      <c r="B210" s="9"/>
      <c r="C210" s="10" t="n">
        <v>45939</v>
      </c>
      <c r="D210" s="10" t="n">
        <v>45944</v>
      </c>
      <c r="E210" s="10" t="n">
        <v>45961</v>
      </c>
      <c r="F210" s="10"/>
      <c r="G210" s="11"/>
      <c r="H210" s="11"/>
      <c r="I210" s="11"/>
      <c r="J210" s="11"/>
      <c r="K210" s="11"/>
      <c r="L210" s="11" t="s">
        <v>28</v>
      </c>
      <c r="M210" s="15" t="s">
        <v>576</v>
      </c>
      <c r="N210" s="11"/>
      <c r="O210" s="11"/>
      <c r="P210" s="11"/>
      <c r="Q210" s="11"/>
      <c r="R210" s="11"/>
      <c r="S210" s="11"/>
      <c r="T210" s="12" t="n">
        <v>4816.44</v>
      </c>
      <c r="U210" s="32" t="s">
        <v>577</v>
      </c>
      <c r="V210" s="14" t="n">
        <v>37343220497</v>
      </c>
      <c r="W210" s="13"/>
    </row>
    <row r="211" customFormat="false" ht="15" hidden="false" customHeight="false" outlineLevel="0" collapsed="false">
      <c r="A211" s="27" t="s">
        <v>578</v>
      </c>
      <c r="B211" s="9" t="s">
        <v>33</v>
      </c>
      <c r="C211" s="10" t="n">
        <v>46038</v>
      </c>
      <c r="D211" s="10" t="n">
        <v>46055</v>
      </c>
      <c r="E211" s="10"/>
      <c r="F211" s="10"/>
      <c r="G211" s="11"/>
      <c r="H211" s="11"/>
      <c r="I211" s="11"/>
      <c r="J211" s="11"/>
      <c r="K211" s="11"/>
      <c r="L211" s="11" t="s">
        <v>218</v>
      </c>
      <c r="M211" s="11" t="s">
        <v>579</v>
      </c>
      <c r="N211" s="11"/>
      <c r="O211" s="11"/>
      <c r="P211" s="11"/>
      <c r="Q211" s="11"/>
      <c r="R211" s="11"/>
      <c r="S211" s="11"/>
      <c r="T211" s="12" t="n">
        <v>15464</v>
      </c>
      <c r="U211" s="32" t="s">
        <v>580</v>
      </c>
      <c r="V211" s="14" t="n">
        <v>44330359472</v>
      </c>
      <c r="W211" s="13"/>
    </row>
    <row r="212" customFormat="false" ht="15" hidden="false" customHeight="false" outlineLevel="0" collapsed="false">
      <c r="A212" s="9" t="s">
        <v>581</v>
      </c>
      <c r="B212" s="9"/>
      <c r="C212" s="10" t="n">
        <v>46034</v>
      </c>
      <c r="D212" s="10" t="n">
        <v>46055</v>
      </c>
      <c r="E212" s="10" t="n">
        <v>46073</v>
      </c>
      <c r="F212" s="10" t="n">
        <v>46090</v>
      </c>
      <c r="G212" s="11"/>
      <c r="H212" s="11"/>
      <c r="I212" s="11" t="s">
        <v>34</v>
      </c>
      <c r="J212" s="11"/>
      <c r="K212" s="11"/>
      <c r="L212" s="11" t="s">
        <v>24</v>
      </c>
      <c r="M212" s="11" t="s">
        <v>25</v>
      </c>
      <c r="N212" s="11"/>
      <c r="O212" s="11"/>
      <c r="P212" s="11"/>
      <c r="Q212" s="11"/>
      <c r="R212" s="11"/>
      <c r="S212" s="11"/>
      <c r="T212" s="12" t="n">
        <v>4816.44</v>
      </c>
      <c r="U212" s="32" t="s">
        <v>582</v>
      </c>
      <c r="V212" s="14" t="n">
        <v>19951698468</v>
      </c>
      <c r="W212" s="13"/>
    </row>
    <row r="213" customFormat="false" ht="15" hidden="false" customHeight="false" outlineLevel="0" collapsed="false">
      <c r="A213" s="9" t="s">
        <v>583</v>
      </c>
      <c r="B213" s="9"/>
      <c r="C213" s="10" t="n">
        <v>46041</v>
      </c>
      <c r="D213" s="10" t="n">
        <v>46055</v>
      </c>
      <c r="E213" s="10" t="n">
        <v>46073</v>
      </c>
      <c r="F213" s="10"/>
      <c r="G213" s="11"/>
      <c r="H213" s="11"/>
      <c r="I213" s="11"/>
      <c r="J213" s="11"/>
      <c r="K213" s="11"/>
      <c r="L213" s="11" t="s">
        <v>24</v>
      </c>
      <c r="M213" s="11" t="s">
        <v>126</v>
      </c>
      <c r="N213" s="11"/>
      <c r="O213" s="11"/>
      <c r="P213" s="16" t="n">
        <v>46052</v>
      </c>
      <c r="Q213" s="11" t="s">
        <v>40</v>
      </c>
      <c r="R213" s="11"/>
      <c r="S213" s="11"/>
      <c r="T213" s="12" t="n">
        <v>30000</v>
      </c>
      <c r="U213" s="32" t="s">
        <v>584</v>
      </c>
      <c r="V213" s="14" t="n">
        <v>7760565496</v>
      </c>
      <c r="W213" s="13"/>
    </row>
    <row r="214" customFormat="false" ht="15" hidden="false" customHeight="false" outlineLevel="0" collapsed="false">
      <c r="A214" s="9" t="s">
        <v>585</v>
      </c>
      <c r="B214" s="9" t="s">
        <v>33</v>
      </c>
      <c r="C214" s="10" t="n">
        <v>45975</v>
      </c>
      <c r="D214" s="10" t="n">
        <v>45989</v>
      </c>
      <c r="E214" s="10" t="n">
        <v>46003</v>
      </c>
      <c r="F214" s="10"/>
      <c r="G214" s="11"/>
      <c r="H214" s="11"/>
      <c r="I214" s="11" t="s">
        <v>34</v>
      </c>
      <c r="J214" s="11"/>
      <c r="K214" s="11"/>
      <c r="L214" s="11" t="s">
        <v>24</v>
      </c>
      <c r="M214" s="11" t="s">
        <v>126</v>
      </c>
      <c r="N214" s="11"/>
      <c r="O214" s="11"/>
      <c r="P214" s="11"/>
      <c r="Q214" s="11"/>
      <c r="R214" s="11"/>
      <c r="S214" s="11"/>
      <c r="T214" s="12" t="n">
        <v>1100</v>
      </c>
      <c r="U214" s="32" t="s">
        <v>586</v>
      </c>
      <c r="V214" s="14" t="n">
        <v>32403143472</v>
      </c>
      <c r="W214" s="13"/>
    </row>
    <row r="215" customFormat="false" ht="15" hidden="false" customHeight="false" outlineLevel="0" collapsed="false">
      <c r="A215" s="9" t="s">
        <v>587</v>
      </c>
      <c r="B215" s="9" t="s">
        <v>33</v>
      </c>
      <c r="C215" s="10" t="n">
        <v>45978</v>
      </c>
      <c r="D215" s="10" t="n">
        <v>45992</v>
      </c>
      <c r="E215" s="10" t="n">
        <v>46007</v>
      </c>
      <c r="F215" s="10"/>
      <c r="G215" s="11"/>
      <c r="H215" s="11"/>
      <c r="I215" s="11" t="s">
        <v>34</v>
      </c>
      <c r="J215" s="11"/>
      <c r="K215" s="11"/>
      <c r="L215" s="11" t="s">
        <v>24</v>
      </c>
      <c r="M215" s="11" t="s">
        <v>588</v>
      </c>
      <c r="N215" s="11"/>
      <c r="O215" s="11"/>
      <c r="P215" s="11"/>
      <c r="Q215" s="11"/>
      <c r="R215" s="11"/>
      <c r="S215" s="11"/>
      <c r="T215" s="12" t="n">
        <v>15636.99</v>
      </c>
      <c r="U215" s="32" t="s">
        <v>589</v>
      </c>
      <c r="V215" s="14" t="n">
        <v>46554408487</v>
      </c>
      <c r="W215" s="13"/>
    </row>
    <row r="216" customFormat="false" ht="15" hidden="false" customHeight="false" outlineLevel="0" collapsed="false">
      <c r="A216" s="9" t="s">
        <v>590</v>
      </c>
      <c r="B216" s="9" t="s">
        <v>33</v>
      </c>
      <c r="C216" s="10" t="n">
        <v>46050</v>
      </c>
      <c r="D216" s="10" t="n">
        <v>46064</v>
      </c>
      <c r="E216" s="10" t="n">
        <v>46086</v>
      </c>
      <c r="F216" s="10" t="n">
        <v>46118</v>
      </c>
      <c r="G216" s="11"/>
      <c r="H216" s="11"/>
      <c r="I216" s="11" t="s">
        <v>34</v>
      </c>
      <c r="J216" s="11"/>
      <c r="K216" s="11"/>
      <c r="L216" s="11" t="s">
        <v>28</v>
      </c>
      <c r="M216" s="15" t="s">
        <v>591</v>
      </c>
      <c r="N216" s="11"/>
      <c r="O216" s="11"/>
      <c r="P216" s="11"/>
      <c r="Q216" s="11"/>
      <c r="R216" s="11"/>
      <c r="S216" s="11"/>
      <c r="T216" s="12" t="n">
        <v>40320</v>
      </c>
      <c r="U216" s="32" t="s">
        <v>592</v>
      </c>
      <c r="V216" s="14" t="n">
        <v>10811932478</v>
      </c>
      <c r="W216" s="13"/>
    </row>
    <row r="217" customFormat="false" ht="15" hidden="false" customHeight="false" outlineLevel="0" collapsed="false">
      <c r="A217" s="9" t="s">
        <v>593</v>
      </c>
      <c r="B217" s="9" t="s">
        <v>33</v>
      </c>
      <c r="C217" s="10" t="n">
        <v>46034</v>
      </c>
      <c r="D217" s="10" t="n">
        <v>46055</v>
      </c>
      <c r="E217" s="10" t="n">
        <v>46073</v>
      </c>
      <c r="F217" s="10" t="n">
        <v>46112</v>
      </c>
      <c r="G217" s="11"/>
      <c r="H217" s="11"/>
      <c r="I217" s="11" t="s">
        <v>34</v>
      </c>
      <c r="J217" s="11"/>
      <c r="K217" s="11"/>
      <c r="L217" s="11" t="s">
        <v>28</v>
      </c>
      <c r="M217" s="15" t="s">
        <v>39</v>
      </c>
      <c r="N217" s="11"/>
      <c r="O217" s="11"/>
      <c r="P217" s="11"/>
      <c r="Q217" s="11"/>
      <c r="R217" s="11"/>
      <c r="S217" s="11"/>
      <c r="T217" s="12" t="n">
        <v>5000</v>
      </c>
      <c r="U217" s="32" t="s">
        <v>594</v>
      </c>
      <c r="V217" s="14" t="n">
        <v>3470464448</v>
      </c>
      <c r="W217" s="13"/>
    </row>
    <row r="218" customFormat="false" ht="15" hidden="false" customHeight="false" outlineLevel="0" collapsed="false">
      <c r="A218" s="9" t="s">
        <v>595</v>
      </c>
      <c r="B218" s="9" t="s">
        <v>33</v>
      </c>
      <c r="C218" s="10" t="n">
        <v>46065</v>
      </c>
      <c r="D218" s="10" t="n">
        <v>46072</v>
      </c>
      <c r="E218" s="10" t="n">
        <v>46083</v>
      </c>
      <c r="F218" s="10" t="n">
        <v>46121</v>
      </c>
      <c r="G218" s="11"/>
      <c r="H218" s="11"/>
      <c r="I218" s="11"/>
      <c r="J218" s="11"/>
      <c r="K218" s="11"/>
      <c r="L218" s="11" t="s">
        <v>28</v>
      </c>
      <c r="M218" s="15" t="s">
        <v>596</v>
      </c>
      <c r="N218" s="11"/>
      <c r="O218" s="11"/>
      <c r="P218" s="16" t="n">
        <v>45764</v>
      </c>
      <c r="Q218" s="11" t="s">
        <v>51</v>
      </c>
      <c r="R218" s="11"/>
      <c r="S218" s="11"/>
      <c r="T218" s="12" t="n">
        <v>5600</v>
      </c>
      <c r="U218" s="32" t="s">
        <v>597</v>
      </c>
      <c r="V218" s="14" t="n">
        <v>3025090464</v>
      </c>
      <c r="W218" s="13"/>
    </row>
    <row r="219" customFormat="false" ht="15" hidden="false" customHeight="false" outlineLevel="0" collapsed="false">
      <c r="A219" s="9" t="s">
        <v>598</v>
      </c>
      <c r="B219" s="9" t="s">
        <v>33</v>
      </c>
      <c r="C219" s="10" t="n">
        <v>45978</v>
      </c>
      <c r="D219" s="10" t="n">
        <v>45992</v>
      </c>
      <c r="E219" s="10" t="n">
        <v>46000</v>
      </c>
      <c r="F219" s="10"/>
      <c r="G219" s="11"/>
      <c r="H219" s="11"/>
      <c r="I219" s="11" t="s">
        <v>34</v>
      </c>
      <c r="J219" s="11"/>
      <c r="K219" s="11"/>
      <c r="L219" s="11" t="s">
        <v>24</v>
      </c>
      <c r="M219" s="11" t="s">
        <v>279</v>
      </c>
      <c r="N219" s="11"/>
      <c r="O219" s="11"/>
      <c r="P219" s="11"/>
      <c r="Q219" s="11"/>
      <c r="R219" s="11"/>
      <c r="S219" s="11"/>
      <c r="T219" s="12" t="n">
        <v>10636.99</v>
      </c>
      <c r="U219" s="32" t="s">
        <v>599</v>
      </c>
      <c r="V219" s="14" t="n">
        <v>15706141487</v>
      </c>
      <c r="W219" s="13"/>
    </row>
    <row r="220" customFormat="false" ht="15" hidden="false" customHeight="false" outlineLevel="0" collapsed="false">
      <c r="A220" s="27" t="s">
        <v>600</v>
      </c>
      <c r="B220" s="9" t="s">
        <v>33</v>
      </c>
      <c r="C220" s="10" t="n">
        <v>46041</v>
      </c>
      <c r="D220" s="10" t="n">
        <v>46055</v>
      </c>
      <c r="E220" s="10" t="n">
        <v>46073</v>
      </c>
      <c r="F220" s="10" t="n">
        <v>46094</v>
      </c>
      <c r="G220" s="11"/>
      <c r="H220" s="11"/>
      <c r="I220" s="11" t="s">
        <v>34</v>
      </c>
      <c r="J220" s="11"/>
      <c r="K220" s="11"/>
      <c r="L220" s="11" t="s">
        <v>24</v>
      </c>
      <c r="M220" s="11" t="s">
        <v>25</v>
      </c>
      <c r="N220" s="11"/>
      <c r="O220" s="11"/>
      <c r="P220" s="11"/>
      <c r="Q220" s="11"/>
      <c r="R220" s="11"/>
      <c r="S220" s="11"/>
      <c r="T220" s="12" t="n">
        <v>1866.67</v>
      </c>
      <c r="U220" s="32" t="s">
        <v>601</v>
      </c>
      <c r="V220" s="14" t="n">
        <v>42362385787</v>
      </c>
      <c r="W220" s="13"/>
    </row>
    <row r="221" customFormat="false" ht="15" hidden="false" customHeight="false" outlineLevel="0" collapsed="false">
      <c r="A221" s="27" t="s">
        <v>600</v>
      </c>
      <c r="B221" s="9" t="s">
        <v>33</v>
      </c>
      <c r="C221" s="10" t="n">
        <v>46041</v>
      </c>
      <c r="D221" s="10" t="n">
        <v>46055</v>
      </c>
      <c r="E221" s="10" t="n">
        <v>46062</v>
      </c>
      <c r="F221" s="10"/>
      <c r="G221" s="11"/>
      <c r="H221" s="11"/>
      <c r="I221" s="11" t="s">
        <v>34</v>
      </c>
      <c r="J221" s="11"/>
      <c r="K221" s="11"/>
      <c r="L221" s="11" t="s">
        <v>24</v>
      </c>
      <c r="M221" s="11" t="s">
        <v>109</v>
      </c>
      <c r="N221" s="11"/>
      <c r="O221" s="11"/>
      <c r="P221" s="11"/>
      <c r="Q221" s="11"/>
      <c r="R221" s="11"/>
      <c r="S221" s="11"/>
      <c r="T221" s="12" t="n">
        <v>3450</v>
      </c>
      <c r="U221" s="32" t="s">
        <v>602</v>
      </c>
      <c r="V221" s="14" t="n">
        <v>26162180468</v>
      </c>
      <c r="W221" s="13"/>
    </row>
    <row r="222" customFormat="false" ht="15" hidden="false" customHeight="false" outlineLevel="0" collapsed="false">
      <c r="A222" s="9" t="s">
        <v>603</v>
      </c>
      <c r="B222" s="9"/>
      <c r="C222" s="10" t="n">
        <v>46038</v>
      </c>
      <c r="D222" s="10" t="n">
        <v>46055</v>
      </c>
      <c r="E222" s="10" t="n">
        <v>46062</v>
      </c>
      <c r="F222" s="10"/>
      <c r="G222" s="11"/>
      <c r="H222" s="11"/>
      <c r="I222" s="11"/>
      <c r="J222" s="11"/>
      <c r="K222" s="11"/>
      <c r="L222" s="11" t="s">
        <v>24</v>
      </c>
      <c r="M222" s="34" t="s">
        <v>279</v>
      </c>
      <c r="N222" s="11"/>
      <c r="O222" s="11"/>
      <c r="P222" s="11"/>
      <c r="Q222" s="11"/>
      <c r="R222" s="11"/>
      <c r="S222" s="11"/>
      <c r="T222" s="12" t="n">
        <v>5000</v>
      </c>
      <c r="U222" s="32" t="s">
        <v>604</v>
      </c>
      <c r="V222" s="14" t="n">
        <v>2897647426</v>
      </c>
      <c r="W222" s="13"/>
    </row>
    <row r="223" customFormat="false" ht="15" hidden="false" customHeight="false" outlineLevel="0" collapsed="false">
      <c r="A223" s="9" t="s">
        <v>605</v>
      </c>
      <c r="B223" s="9"/>
      <c r="C223" s="10" t="n">
        <v>45975</v>
      </c>
      <c r="D223" s="10" t="n">
        <v>46043</v>
      </c>
      <c r="E223" s="10" t="n">
        <v>46058</v>
      </c>
      <c r="F223" s="10"/>
      <c r="G223" s="11"/>
      <c r="H223" s="11"/>
      <c r="I223" s="11"/>
      <c r="J223" s="11"/>
      <c r="K223" s="11"/>
      <c r="L223" s="11" t="s">
        <v>28</v>
      </c>
      <c r="M223" s="35" t="s">
        <v>606</v>
      </c>
      <c r="N223" s="11"/>
      <c r="O223" s="11"/>
      <c r="P223" s="11"/>
      <c r="Q223" s="11"/>
      <c r="R223" s="11"/>
      <c r="S223" s="11"/>
      <c r="T223" s="12" t="n">
        <v>3000</v>
      </c>
      <c r="U223" s="32" t="s">
        <v>607</v>
      </c>
      <c r="V223" s="14" t="n">
        <v>5219059408</v>
      </c>
      <c r="W223" s="13"/>
    </row>
    <row r="224" customFormat="false" ht="15" hidden="false" customHeight="false" outlineLevel="0" collapsed="false">
      <c r="A224" s="9" t="s">
        <v>608</v>
      </c>
      <c r="B224" s="9"/>
      <c r="C224" s="10" t="n">
        <v>45890</v>
      </c>
      <c r="D224" s="10" t="n">
        <v>45897</v>
      </c>
      <c r="E224" s="10" t="n">
        <v>45918</v>
      </c>
      <c r="F224" s="10"/>
      <c r="G224" s="11"/>
      <c r="H224" s="11"/>
      <c r="I224" s="11"/>
      <c r="J224" s="11"/>
      <c r="K224" s="11"/>
      <c r="L224" s="11" t="s">
        <v>28</v>
      </c>
      <c r="M224" s="11" t="s">
        <v>609</v>
      </c>
      <c r="N224" s="11"/>
      <c r="O224" s="11"/>
      <c r="P224" s="11"/>
      <c r="Q224" s="11"/>
      <c r="R224" s="11"/>
      <c r="S224" s="11"/>
      <c r="T224" s="12" t="n">
        <v>11200</v>
      </c>
      <c r="U224" s="32" t="s">
        <v>610</v>
      </c>
      <c r="V224" s="14" t="n">
        <v>56518757434</v>
      </c>
      <c r="W224" s="13"/>
    </row>
    <row r="225" customFormat="false" ht="15" hidden="false" customHeight="false" outlineLevel="0" collapsed="false">
      <c r="A225" s="9" t="s">
        <v>611</v>
      </c>
      <c r="B225" s="9" t="s">
        <v>33</v>
      </c>
      <c r="C225" s="10" t="n">
        <v>46073</v>
      </c>
      <c r="D225" s="10" t="n">
        <v>46078</v>
      </c>
      <c r="E225" s="10" t="n">
        <v>46085</v>
      </c>
      <c r="F225" s="10"/>
      <c r="G225" s="11"/>
      <c r="H225" s="11"/>
      <c r="I225" s="11"/>
      <c r="J225" s="11"/>
      <c r="K225" s="11"/>
      <c r="L225" s="11" t="s">
        <v>28</v>
      </c>
      <c r="M225" s="11" t="s">
        <v>609</v>
      </c>
      <c r="N225" s="11"/>
      <c r="O225" s="11"/>
      <c r="P225" s="11"/>
      <c r="Q225" s="11"/>
      <c r="R225" s="11"/>
      <c r="S225" s="11"/>
      <c r="T225" s="12" t="n">
        <v>428.6</v>
      </c>
      <c r="U225" s="32" t="s">
        <v>610</v>
      </c>
      <c r="V225" s="14" t="n">
        <v>56518757434</v>
      </c>
      <c r="W225" s="13"/>
    </row>
    <row r="226" customFormat="false" ht="15" hidden="false" customHeight="false" outlineLevel="0" collapsed="false">
      <c r="A226" s="9" t="s">
        <v>612</v>
      </c>
      <c r="B226" s="9" t="s">
        <v>33</v>
      </c>
      <c r="C226" s="10" t="n">
        <v>46057</v>
      </c>
      <c r="D226" s="10" t="n">
        <v>46064</v>
      </c>
      <c r="E226" s="10" t="n">
        <v>46086</v>
      </c>
      <c r="F226" s="11"/>
      <c r="G226" s="11"/>
      <c r="H226" s="11"/>
      <c r="I226" s="11" t="s">
        <v>34</v>
      </c>
      <c r="J226" s="11"/>
      <c r="K226" s="11"/>
      <c r="L226" s="11" t="s">
        <v>28</v>
      </c>
      <c r="M226" s="15" t="s">
        <v>613</v>
      </c>
      <c r="N226" s="11"/>
      <c r="O226" s="11"/>
      <c r="P226" s="11"/>
      <c r="Q226" s="11"/>
      <c r="R226" s="11"/>
      <c r="S226" s="11"/>
      <c r="T226" s="12" t="n">
        <v>2597.23</v>
      </c>
      <c r="U226" s="32" t="s">
        <v>614</v>
      </c>
      <c r="V226" s="14" t="n">
        <v>6822161430</v>
      </c>
      <c r="W226" s="13"/>
    </row>
    <row r="227" customFormat="false" ht="15" hidden="false" customHeight="false" outlineLevel="0" collapsed="false">
      <c r="A227" s="9" t="s">
        <v>615</v>
      </c>
      <c r="B227" s="9" t="s">
        <v>33</v>
      </c>
      <c r="C227" s="10" t="n">
        <v>46073</v>
      </c>
      <c r="D227" s="10" t="n">
        <v>46078</v>
      </c>
      <c r="E227" s="10" t="n">
        <v>46087</v>
      </c>
      <c r="F227" s="11"/>
      <c r="G227" s="11"/>
      <c r="H227" s="11"/>
      <c r="I227" s="11"/>
      <c r="J227" s="11"/>
      <c r="K227" s="11"/>
      <c r="L227" s="11" t="s">
        <v>28</v>
      </c>
      <c r="M227" s="15" t="s">
        <v>616</v>
      </c>
      <c r="N227" s="11"/>
      <c r="O227" s="11"/>
      <c r="P227" s="11"/>
      <c r="Q227" s="11"/>
      <c r="R227" s="11"/>
      <c r="S227" s="11"/>
      <c r="T227" s="12" t="n">
        <v>19431.46</v>
      </c>
      <c r="U227" s="32" t="s">
        <v>617</v>
      </c>
      <c r="V227" s="14" t="n">
        <v>2636550402</v>
      </c>
      <c r="W227" s="13"/>
    </row>
    <row r="228" customFormat="false" ht="15" hidden="false" customHeight="false" outlineLevel="0" collapsed="false">
      <c r="A228" s="9" t="s">
        <v>618</v>
      </c>
      <c r="B228" s="9" t="s">
        <v>33</v>
      </c>
      <c r="C228" s="10" t="n">
        <v>46050</v>
      </c>
      <c r="D228" s="10" t="n">
        <v>46076</v>
      </c>
      <c r="E228" s="10" t="n">
        <v>46086</v>
      </c>
      <c r="F228" s="11"/>
      <c r="G228" s="11"/>
      <c r="H228" s="11"/>
      <c r="I228" s="11"/>
      <c r="J228" s="11"/>
      <c r="K228" s="11"/>
      <c r="L228" s="11" t="s">
        <v>28</v>
      </c>
      <c r="M228" s="34" t="s">
        <v>619</v>
      </c>
      <c r="N228" s="11"/>
      <c r="O228" s="11"/>
      <c r="P228" s="11"/>
      <c r="Q228" s="11"/>
      <c r="R228" s="11"/>
      <c r="S228" s="11"/>
      <c r="T228" s="12" t="n">
        <v>15403.63</v>
      </c>
      <c r="U228" s="32" t="s">
        <v>620</v>
      </c>
      <c r="V228" s="14" t="n">
        <v>12204650463</v>
      </c>
      <c r="W228" s="13"/>
    </row>
    <row r="229" customFormat="false" ht="15" hidden="false" customHeight="false" outlineLevel="0" collapsed="false">
      <c r="A229" s="9" t="s">
        <v>621</v>
      </c>
      <c r="B229" s="9" t="s">
        <v>33</v>
      </c>
      <c r="C229" s="10" t="n">
        <v>46065</v>
      </c>
      <c r="D229" s="10" t="n">
        <v>46072</v>
      </c>
      <c r="E229" s="10" t="n">
        <v>46087</v>
      </c>
      <c r="F229" s="11"/>
      <c r="G229" s="11"/>
      <c r="H229" s="11"/>
      <c r="I229" s="11"/>
      <c r="J229" s="11"/>
      <c r="K229" s="11"/>
      <c r="L229" s="11" t="s">
        <v>28</v>
      </c>
      <c r="M229" s="11" t="s">
        <v>622</v>
      </c>
      <c r="N229" s="11"/>
      <c r="O229" s="11"/>
      <c r="P229" s="11"/>
      <c r="Q229" s="11"/>
      <c r="R229" s="11"/>
      <c r="S229" s="11"/>
      <c r="T229" s="12" t="n">
        <v>990.01</v>
      </c>
      <c r="U229" s="32" t="s">
        <v>623</v>
      </c>
      <c r="V229" s="14" t="n">
        <v>1354141482</v>
      </c>
      <c r="W229" s="13"/>
    </row>
    <row r="230" customFormat="false" ht="15" hidden="false" customHeight="false" outlineLevel="0" collapsed="false">
      <c r="A230" s="9" t="s">
        <v>624</v>
      </c>
      <c r="B230" s="9"/>
      <c r="C230" s="10" t="n">
        <v>45978</v>
      </c>
      <c r="D230" s="10" t="n">
        <v>45979</v>
      </c>
      <c r="E230" s="10" t="n">
        <v>45994</v>
      </c>
      <c r="F230" s="11"/>
      <c r="G230" s="16" t="n">
        <v>46129</v>
      </c>
      <c r="H230" s="16" t="n">
        <v>46139</v>
      </c>
      <c r="I230" s="11"/>
      <c r="J230" s="11"/>
      <c r="K230" s="11"/>
      <c r="L230" s="11" t="s">
        <v>24</v>
      </c>
      <c r="M230" s="11" t="s">
        <v>25</v>
      </c>
      <c r="N230" s="11"/>
      <c r="O230" s="11"/>
      <c r="P230" s="11"/>
      <c r="Q230" s="11"/>
      <c r="R230" s="11"/>
      <c r="S230" s="11"/>
      <c r="T230" s="12" t="n">
        <v>20024.71</v>
      </c>
      <c r="U230" s="32" t="s">
        <v>625</v>
      </c>
      <c r="V230" s="14" t="n">
        <v>9477225487</v>
      </c>
      <c r="W230" s="13"/>
    </row>
    <row r="231" customFormat="false" ht="15" hidden="false" customHeight="false" outlineLevel="0" collapsed="false">
      <c r="A231" s="9" t="s">
        <v>626</v>
      </c>
      <c r="B231" s="9" t="s">
        <v>33</v>
      </c>
      <c r="C231" s="10" t="n">
        <v>46092</v>
      </c>
      <c r="D231" s="10" t="n">
        <v>46094</v>
      </c>
      <c r="E231" s="10" t="n">
        <v>46099</v>
      </c>
      <c r="F231" s="11"/>
      <c r="G231" s="11"/>
      <c r="H231" s="11"/>
      <c r="I231" s="11" t="s">
        <v>34</v>
      </c>
      <c r="J231" s="11"/>
      <c r="K231" s="11"/>
      <c r="L231" s="11" t="s">
        <v>28</v>
      </c>
      <c r="M231" s="15" t="s">
        <v>627</v>
      </c>
      <c r="N231" s="11"/>
      <c r="O231" s="11"/>
      <c r="P231" s="11"/>
      <c r="Q231" s="11"/>
      <c r="R231" s="11"/>
      <c r="S231" s="11"/>
      <c r="T231" s="12" t="n">
        <v>30880</v>
      </c>
      <c r="U231" s="32" t="s">
        <v>628</v>
      </c>
      <c r="V231" s="14" t="n">
        <v>3005887391</v>
      </c>
      <c r="W231" s="13"/>
    </row>
    <row r="232" customFormat="false" ht="15" hidden="false" customHeight="false" outlineLevel="0" collapsed="false">
      <c r="A232" s="9" t="s">
        <v>629</v>
      </c>
      <c r="B232" s="9" t="s">
        <v>33</v>
      </c>
      <c r="C232" s="10" t="n">
        <v>45615</v>
      </c>
      <c r="D232" s="10" t="n">
        <v>45625</v>
      </c>
      <c r="E232" s="10" t="n">
        <v>45637</v>
      </c>
      <c r="F232" s="11"/>
      <c r="G232" s="16" t="n">
        <v>45854</v>
      </c>
      <c r="H232" s="16" t="n">
        <v>45868</v>
      </c>
      <c r="I232" s="11" t="s">
        <v>34</v>
      </c>
      <c r="J232" s="11"/>
      <c r="K232" s="11"/>
      <c r="L232" s="11" t="s">
        <v>28</v>
      </c>
      <c r="M232" s="15" t="s">
        <v>630</v>
      </c>
      <c r="N232" s="11"/>
      <c r="O232" s="11"/>
      <c r="P232" s="11"/>
      <c r="Q232" s="11"/>
      <c r="R232" s="11"/>
      <c r="S232" s="11"/>
      <c r="T232" s="12" t="n">
        <v>41000</v>
      </c>
      <c r="U232" s="32" t="s">
        <v>631</v>
      </c>
      <c r="V232" s="14" t="n">
        <v>789686406</v>
      </c>
      <c r="W232" s="13"/>
    </row>
    <row r="233" customFormat="false" ht="15" hidden="false" customHeight="false" outlineLevel="0" collapsed="false">
      <c r="A233" s="9" t="s">
        <v>632</v>
      </c>
      <c r="B233" s="9" t="s">
        <v>33</v>
      </c>
      <c r="C233" s="10" t="n">
        <v>46065</v>
      </c>
      <c r="D233" s="10" t="n">
        <v>46072</v>
      </c>
      <c r="E233" s="10" t="n">
        <v>46085</v>
      </c>
      <c r="F233" s="16" t="n">
        <v>46149</v>
      </c>
      <c r="G233" s="11"/>
      <c r="H233" s="11"/>
      <c r="I233" s="11" t="s">
        <v>34</v>
      </c>
      <c r="J233" s="11"/>
      <c r="K233" s="11"/>
      <c r="L233" s="11" t="s">
        <v>218</v>
      </c>
      <c r="M233" s="35" t="s">
        <v>633</v>
      </c>
      <c r="N233" s="34" t="s">
        <v>634</v>
      </c>
      <c r="O233" s="11"/>
      <c r="P233" s="11"/>
      <c r="Q233" s="11"/>
      <c r="R233" s="11"/>
      <c r="S233" s="11"/>
      <c r="T233" s="12" t="n">
        <v>1029.25</v>
      </c>
      <c r="U233" s="32" t="s">
        <v>635</v>
      </c>
      <c r="V233" s="14" t="n">
        <v>9733892491</v>
      </c>
      <c r="W233" s="13"/>
    </row>
    <row r="234" customFormat="false" ht="15" hidden="false" customHeight="false" outlineLevel="0" collapsed="false">
      <c r="A234" s="9" t="s">
        <v>636</v>
      </c>
      <c r="B234" s="9" t="s">
        <v>33</v>
      </c>
      <c r="C234" s="10" t="n">
        <v>46092</v>
      </c>
      <c r="D234" s="10" t="n">
        <v>46094</v>
      </c>
      <c r="E234" s="10" t="n">
        <v>46111</v>
      </c>
      <c r="F234" s="11"/>
      <c r="G234" s="11"/>
      <c r="H234" s="11"/>
      <c r="I234" s="11"/>
      <c r="J234" s="11"/>
      <c r="K234" s="11"/>
      <c r="L234" s="11" t="s">
        <v>24</v>
      </c>
      <c r="M234" s="11" t="s">
        <v>25</v>
      </c>
      <c r="N234" s="11"/>
      <c r="O234" s="11"/>
      <c r="P234" s="11"/>
      <c r="Q234" s="11"/>
      <c r="R234" s="11"/>
      <c r="S234" s="11"/>
      <c r="T234" s="12" t="n">
        <v>3300</v>
      </c>
      <c r="U234" s="32" t="s">
        <v>297</v>
      </c>
      <c r="V234" s="14" t="n">
        <v>8548536420</v>
      </c>
      <c r="W234" s="13"/>
    </row>
    <row r="235" customFormat="false" ht="15" hidden="false" customHeight="false" outlineLevel="0" collapsed="false">
      <c r="A235" s="9" t="s">
        <v>637</v>
      </c>
      <c r="B235" s="9" t="s">
        <v>33</v>
      </c>
      <c r="C235" s="10" t="n">
        <v>46092</v>
      </c>
      <c r="D235" s="10" t="n">
        <v>46094</v>
      </c>
      <c r="E235" s="10" t="n">
        <v>46111</v>
      </c>
      <c r="F235" s="11"/>
      <c r="G235" s="11"/>
      <c r="H235" s="11"/>
      <c r="I235" s="11" t="s">
        <v>34</v>
      </c>
      <c r="J235" s="11"/>
      <c r="K235" s="11"/>
      <c r="L235" s="11" t="s">
        <v>24</v>
      </c>
      <c r="M235" s="11" t="s">
        <v>25</v>
      </c>
      <c r="N235" s="11"/>
      <c r="O235" s="11"/>
      <c r="P235" s="11"/>
      <c r="Q235" s="11"/>
      <c r="R235" s="11"/>
      <c r="S235" s="11"/>
      <c r="T235" s="12" t="n">
        <v>17000</v>
      </c>
      <c r="U235" s="32" t="s">
        <v>638</v>
      </c>
      <c r="V235" s="31" t="n">
        <v>22983333434</v>
      </c>
      <c r="W235" s="13"/>
    </row>
    <row r="236" customFormat="false" ht="15" hidden="false" customHeight="false" outlineLevel="0" collapsed="false">
      <c r="A236" s="9"/>
      <c r="B236" s="9"/>
      <c r="C236" s="10"/>
      <c r="D236" s="10"/>
      <c r="E236" s="10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2"/>
      <c r="U236" s="32"/>
      <c r="V236" s="14"/>
      <c r="W236" s="13"/>
    </row>
    <row r="237" customFormat="false" ht="15" hidden="false" customHeight="false" outlineLevel="0" collapsed="false">
      <c r="A237" s="9"/>
      <c r="B237" s="9"/>
      <c r="C237" s="10"/>
      <c r="D237" s="10"/>
      <c r="E237" s="10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2"/>
      <c r="U237" s="32"/>
      <c r="V237" s="14"/>
      <c r="W237" s="13"/>
    </row>
    <row r="238" customFormat="false" ht="15" hidden="false" customHeight="false" outlineLevel="0" collapsed="false">
      <c r="A238" s="9"/>
      <c r="B238" s="9"/>
      <c r="C238" s="10"/>
      <c r="D238" s="10"/>
      <c r="E238" s="10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2"/>
      <c r="U238" s="32"/>
      <c r="V238" s="14"/>
      <c r="W238" s="13"/>
    </row>
    <row r="239" customFormat="false" ht="15" hidden="false" customHeight="false" outlineLevel="0" collapsed="false">
      <c r="A239" s="9"/>
      <c r="B239" s="9"/>
      <c r="C239" s="10"/>
      <c r="D239" s="10"/>
      <c r="E239" s="10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2"/>
      <c r="U239" s="32"/>
      <c r="V239" s="14"/>
      <c r="W239" s="13"/>
    </row>
    <row r="240" customFormat="false" ht="15" hidden="false" customHeight="false" outlineLevel="0" collapsed="false">
      <c r="A240" s="36" t="s">
        <v>639</v>
      </c>
      <c r="B240" s="36"/>
      <c r="C240" s="37"/>
      <c r="D240" s="37" t="n">
        <f aca="false">COUNTA(D2:D239)</f>
        <v>232</v>
      </c>
      <c r="E240" s="37"/>
      <c r="F240" s="37" t="n">
        <f aca="false">COUNT(F2:F239)</f>
        <v>66</v>
      </c>
      <c r="G240" s="37" t="n">
        <f aca="false">COUNT(G2:G239)</f>
        <v>47</v>
      </c>
      <c r="H240" s="37"/>
      <c r="I240" s="37" t="n">
        <f aca="false">COUNTA(I2:I239)</f>
        <v>77</v>
      </c>
      <c r="J240" s="37"/>
      <c r="K240" s="37"/>
      <c r="L240" s="37"/>
      <c r="M240" s="37"/>
      <c r="N240" s="37"/>
      <c r="O240" s="37" t="n">
        <f aca="false">COUNTA(O2:O239)</f>
        <v>13</v>
      </c>
      <c r="P240" s="37" t="n">
        <f aca="false">COUNT(P2:P239)</f>
        <v>40</v>
      </c>
      <c r="Q240" s="37"/>
      <c r="R240" s="37"/>
      <c r="S240" s="37"/>
      <c r="T240" s="12"/>
      <c r="U240" s="32"/>
      <c r="V240" s="14"/>
      <c r="W240" s="13"/>
    </row>
    <row r="241" customFormat="false" ht="15" hidden="false" customHeight="true" outlineLevel="0" collapsed="false">
      <c r="G241" s="38"/>
    </row>
    <row r="243" customFormat="false" ht="15" hidden="false" customHeight="false" outlineLevel="0" collapsed="false">
      <c r="A243" s="39" t="s">
        <v>640</v>
      </c>
      <c r="B243" s="39"/>
      <c r="C243" s="39"/>
      <c r="D243" s="40" t="n">
        <f aca="false">D240</f>
        <v>232</v>
      </c>
      <c r="E243" s="41" t="n">
        <f aca="false">SUM(E244:E248)</f>
        <v>1</v>
      </c>
      <c r="I243" s="2" t="s">
        <v>641</v>
      </c>
    </row>
    <row r="244" customFormat="false" ht="15" hidden="false" customHeight="false" outlineLevel="0" collapsed="false">
      <c r="A244" s="39" t="s">
        <v>642</v>
      </c>
      <c r="B244" s="39"/>
      <c r="C244" s="39"/>
      <c r="D244" s="40" t="n">
        <f aca="false">F240</f>
        <v>66</v>
      </c>
      <c r="E244" s="41" t="n">
        <f aca="false">D244/D243</f>
        <v>0.28448275862069</v>
      </c>
    </row>
    <row r="245" customFormat="false" ht="15" hidden="false" customHeight="false" outlineLevel="0" collapsed="false">
      <c r="A245" s="39" t="s">
        <v>643</v>
      </c>
      <c r="B245" s="39"/>
      <c r="C245" s="39"/>
      <c r="D245" s="40" t="n">
        <f aca="false">I240</f>
        <v>77</v>
      </c>
      <c r="E245" s="41" t="n">
        <f aca="false">D245/D243</f>
        <v>0.331896551724138</v>
      </c>
    </row>
    <row r="246" customFormat="false" ht="15" hidden="false" customHeight="false" outlineLevel="0" collapsed="false">
      <c r="A246" s="39" t="s">
        <v>644</v>
      </c>
      <c r="B246" s="39"/>
      <c r="C246" s="40"/>
      <c r="D246" s="40" t="n">
        <f aca="false">O240</f>
        <v>13</v>
      </c>
      <c r="E246" s="41" t="n">
        <f aca="false">D246/D243</f>
        <v>0.0560344827586207</v>
      </c>
    </row>
    <row r="247" customFormat="false" ht="15" hidden="false" customHeight="false" outlineLevel="0" collapsed="false">
      <c r="A247" s="39" t="s">
        <v>645</v>
      </c>
      <c r="B247" s="39"/>
      <c r="C247" s="40"/>
      <c r="D247" s="40" t="n">
        <f aca="false">P240</f>
        <v>40</v>
      </c>
      <c r="E247" s="41" t="n">
        <f aca="false">D247/D243</f>
        <v>0.172413793103448</v>
      </c>
      <c r="P247" s="42"/>
    </row>
    <row r="248" customFormat="false" ht="15" hidden="false" customHeight="false" outlineLevel="0" collapsed="false">
      <c r="A248" s="39" t="s">
        <v>646</v>
      </c>
      <c r="B248" s="39"/>
      <c r="C248" s="39"/>
      <c r="D248" s="40" t="n">
        <f aca="false">D243-D244-D245-D246-D247</f>
        <v>36</v>
      </c>
      <c r="E248" s="41" t="n">
        <f aca="false">D248/D243</f>
        <v>0.155172413793103</v>
      </c>
    </row>
    <row r="258" customFormat="false" ht="25.35" hidden="false" customHeight="false" outlineLevel="0" collapsed="false">
      <c r="A258" s="8" t="s">
        <v>647</v>
      </c>
      <c r="B258" s="8"/>
    </row>
    <row r="259" customFormat="false" ht="15" hidden="false" customHeight="false" outlineLevel="0" collapsed="false">
      <c r="A259" s="43" t="s">
        <v>648</v>
      </c>
      <c r="B259" s="43"/>
    </row>
    <row r="260" customFormat="false" ht="23.85" hidden="false" customHeight="false" outlineLevel="0" collapsed="false">
      <c r="A260" s="44" t="s">
        <v>649</v>
      </c>
      <c r="B260" s="44"/>
    </row>
    <row r="261" customFormat="false" ht="68.65" hidden="false" customHeight="false" outlineLevel="0" collapsed="false">
      <c r="A261" s="45" t="s">
        <v>650</v>
      </c>
      <c r="B261" s="45"/>
    </row>
  </sheetData>
  <autoFilter ref="A1:X141">
    <sortState ref="A2:X141">
      <sortCondition ref="A2:A141" customList=""/>
    </sortState>
  </autoFilter>
  <mergeCells count="4">
    <mergeCell ref="A243:C243"/>
    <mergeCell ref="A244:C244"/>
    <mergeCell ref="A245:C245"/>
    <mergeCell ref="A248:C24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B80" activeCellId="0" sqref="B8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4" width="15.57"/>
    <col collapsed="false" customWidth="true" hidden="false" outlineLevel="0" max="2" min="2" style="1" width="15"/>
    <col collapsed="false" customWidth="true" hidden="false" outlineLevel="0" max="3" min="3" style="1" width="14.57"/>
    <col collapsed="false" customWidth="true" hidden="false" outlineLevel="0" max="4" min="4" style="1" width="16"/>
    <col collapsed="false" customWidth="true" hidden="false" outlineLevel="0" max="5" min="5" style="4" width="17.15"/>
    <col collapsed="false" customWidth="true" hidden="false" outlineLevel="0" max="6" min="6" style="4" width="21.71"/>
    <col collapsed="false" customWidth="true" hidden="false" outlineLevel="0" max="7" min="7" style="4" width="20.03"/>
    <col collapsed="false" customWidth="true" hidden="false" outlineLevel="0" max="8" min="8" style="4" width="14.86"/>
    <col collapsed="false" customWidth="true" hidden="false" outlineLevel="0" max="9" min="9" style="4" width="12.57"/>
    <col collapsed="false" customWidth="true" hidden="false" outlineLevel="0" max="10" min="10" style="1" width="16"/>
    <col collapsed="false" customWidth="true" hidden="false" outlineLevel="0" max="11" min="11" style="4" width="13.71"/>
    <col collapsed="false" customWidth="true" hidden="false" outlineLevel="0" max="12" min="12" style="1" width="16"/>
    <col collapsed="false" customWidth="true" hidden="false" outlineLevel="0" max="15" min="13" style="1" width="15.57"/>
    <col collapsed="false" customWidth="true" hidden="false" outlineLevel="0" max="18" min="16" style="4" width="15.57"/>
    <col collapsed="false" customWidth="true" hidden="false" outlineLevel="0" max="30" min="19" style="1" width="15.57"/>
  </cols>
  <sheetData>
    <row r="1" customFormat="false" ht="30" hidden="false" customHeight="true" outlineLevel="0" collapsed="false">
      <c r="A1" s="6" t="s">
        <v>0</v>
      </c>
      <c r="B1" s="6" t="s">
        <v>651</v>
      </c>
      <c r="C1" s="6" t="s">
        <v>21</v>
      </c>
      <c r="D1" s="6" t="s">
        <v>652</v>
      </c>
      <c r="E1" s="46" t="s">
        <v>22</v>
      </c>
      <c r="F1" s="46" t="s">
        <v>12</v>
      </c>
      <c r="G1" s="8" t="s">
        <v>13</v>
      </c>
      <c r="H1" s="46" t="s">
        <v>653</v>
      </c>
      <c r="I1" s="46" t="s">
        <v>654</v>
      </c>
      <c r="J1" s="6" t="s">
        <v>655</v>
      </c>
      <c r="K1" s="6" t="s">
        <v>656</v>
      </c>
      <c r="L1" s="46" t="n">
        <v>45627</v>
      </c>
      <c r="M1" s="46" t="n">
        <v>45658</v>
      </c>
      <c r="N1" s="46" t="n">
        <v>45689</v>
      </c>
      <c r="O1" s="46" t="n">
        <v>45717</v>
      </c>
      <c r="P1" s="46" t="n">
        <v>45748</v>
      </c>
      <c r="Q1" s="46" t="n">
        <v>45778</v>
      </c>
      <c r="R1" s="46" t="n">
        <v>45809</v>
      </c>
      <c r="S1" s="46" t="n">
        <v>45839</v>
      </c>
      <c r="T1" s="46" t="n">
        <v>45870</v>
      </c>
      <c r="U1" s="46" t="n">
        <v>45901</v>
      </c>
      <c r="V1" s="46" t="n">
        <v>45931</v>
      </c>
      <c r="W1" s="46" t="n">
        <v>45962</v>
      </c>
      <c r="X1" s="46" t="n">
        <v>45992</v>
      </c>
      <c r="Y1" s="46" t="n">
        <v>46023</v>
      </c>
      <c r="Z1" s="46" t="n">
        <v>46054</v>
      </c>
      <c r="AA1" s="46" t="n">
        <v>46082</v>
      </c>
      <c r="AB1" s="46" t="n">
        <v>46113</v>
      </c>
      <c r="AC1" s="46" t="n">
        <v>46143</v>
      </c>
      <c r="AD1" s="46" t="n">
        <v>46174</v>
      </c>
    </row>
    <row r="2" s="13" customFormat="true" ht="15" hidden="false" customHeight="false" outlineLevel="0" collapsed="false">
      <c r="A2" s="9" t="s">
        <v>42</v>
      </c>
      <c r="B2" s="9" t="s">
        <v>657</v>
      </c>
      <c r="C2" s="47" t="n">
        <v>1179288440</v>
      </c>
      <c r="D2" s="9" t="n">
        <v>18</v>
      </c>
      <c r="F2" s="15" t="s">
        <v>43</v>
      </c>
      <c r="H2" s="9" t="s">
        <v>33</v>
      </c>
      <c r="J2" s="48" t="n">
        <v>3664.78</v>
      </c>
      <c r="L2" s="9"/>
      <c r="M2" s="9"/>
      <c r="N2" s="9"/>
      <c r="O2" s="9"/>
      <c r="S2" s="9"/>
      <c r="T2" s="9"/>
      <c r="U2" s="9"/>
      <c r="V2" s="9"/>
      <c r="W2" s="9"/>
      <c r="X2" s="9"/>
      <c r="Y2" s="9"/>
      <c r="Z2" s="9"/>
      <c r="AA2" s="48" t="n">
        <v>209.32</v>
      </c>
      <c r="AB2" s="48" t="n">
        <v>209.32</v>
      </c>
      <c r="AC2" s="9"/>
      <c r="AD2" s="9"/>
    </row>
    <row r="3" s="13" customFormat="true" ht="15" hidden="false" customHeight="false" outlineLevel="0" collapsed="false">
      <c r="A3" s="9" t="s">
        <v>94</v>
      </c>
      <c r="B3" s="9" t="s">
        <v>658</v>
      </c>
      <c r="C3" s="47" t="n">
        <v>6975973423</v>
      </c>
      <c r="D3" s="9" t="n">
        <v>1</v>
      </c>
      <c r="F3" s="17" t="s">
        <v>659</v>
      </c>
      <c r="H3" s="9" t="s">
        <v>33</v>
      </c>
      <c r="I3" s="49" t="s">
        <v>34</v>
      </c>
      <c r="J3" s="48" t="n">
        <v>1179.02</v>
      </c>
      <c r="K3" s="9" t="s">
        <v>34</v>
      </c>
      <c r="L3" s="9"/>
      <c r="M3" s="9"/>
      <c r="N3" s="9"/>
      <c r="O3" s="9"/>
      <c r="S3" s="50" t="n">
        <v>1179.02</v>
      </c>
      <c r="T3" s="9"/>
      <c r="U3" s="9"/>
      <c r="V3" s="9"/>
      <c r="W3" s="9"/>
      <c r="X3" s="9"/>
      <c r="Y3" s="9"/>
      <c r="Z3" s="9"/>
      <c r="AA3" s="9"/>
      <c r="AB3" s="9"/>
      <c r="AC3" s="48"/>
      <c r="AD3" s="48"/>
    </row>
    <row r="4" s="13" customFormat="true" ht="15" hidden="false" customHeight="false" outlineLevel="0" collapsed="false">
      <c r="A4" s="9" t="s">
        <v>660</v>
      </c>
      <c r="B4" s="9" t="s">
        <v>657</v>
      </c>
      <c r="C4" s="47" t="n">
        <v>9008572427</v>
      </c>
      <c r="D4" s="9" t="n">
        <v>6</v>
      </c>
      <c r="F4" s="15" t="s">
        <v>661</v>
      </c>
      <c r="G4" s="15"/>
      <c r="H4" s="9" t="s">
        <v>33</v>
      </c>
      <c r="J4" s="48" t="n">
        <v>2464.08</v>
      </c>
      <c r="L4" s="9"/>
      <c r="M4" s="9"/>
      <c r="N4" s="9"/>
      <c r="O4" s="9"/>
      <c r="S4" s="9"/>
      <c r="T4" s="9"/>
      <c r="U4" s="9"/>
      <c r="V4" s="9"/>
      <c r="W4" s="9"/>
      <c r="X4" s="9"/>
      <c r="Y4" s="48" t="n">
        <v>410.68</v>
      </c>
      <c r="Z4" s="48" t="n">
        <v>410.68</v>
      </c>
      <c r="AA4" s="48" t="n">
        <v>410.68</v>
      </c>
      <c r="AB4" s="48" t="n">
        <v>410.68</v>
      </c>
      <c r="AC4" s="48"/>
      <c r="AD4" s="48"/>
    </row>
    <row r="5" s="13" customFormat="true" ht="15" hidden="false" customHeight="false" outlineLevel="0" collapsed="false">
      <c r="A5" s="9" t="s">
        <v>45</v>
      </c>
      <c r="B5" s="9" t="s">
        <v>657</v>
      </c>
      <c r="C5" s="47" t="n">
        <v>8984449423</v>
      </c>
      <c r="D5" s="9" t="n">
        <v>33</v>
      </c>
      <c r="F5" s="17" t="s">
        <v>46</v>
      </c>
      <c r="G5" s="17"/>
      <c r="H5" s="9" t="s">
        <v>33</v>
      </c>
      <c r="J5" s="48" t="n">
        <v>6717.34</v>
      </c>
      <c r="K5" s="9"/>
      <c r="L5" s="48" t="n">
        <v>203.56</v>
      </c>
      <c r="M5" s="48" t="n">
        <v>203.56</v>
      </c>
      <c r="N5" s="48" t="n">
        <v>203.56</v>
      </c>
      <c r="O5" s="48" t="n">
        <v>203.56</v>
      </c>
      <c r="P5" s="48"/>
      <c r="Q5" s="48" t="n">
        <v>203.56</v>
      </c>
      <c r="R5" s="48" t="n">
        <v>203.56</v>
      </c>
      <c r="S5" s="48" t="n">
        <v>203.56</v>
      </c>
      <c r="T5" s="48" t="n">
        <v>203.56</v>
      </c>
      <c r="U5" s="48" t="n">
        <v>203.56</v>
      </c>
      <c r="V5" s="48" t="n">
        <v>203.56</v>
      </c>
      <c r="W5" s="48" t="n">
        <v>203.56</v>
      </c>
      <c r="X5" s="48" t="n">
        <v>203.56</v>
      </c>
      <c r="Y5" s="48" t="n">
        <v>203.56</v>
      </c>
      <c r="Z5" s="48" t="n">
        <v>203.56</v>
      </c>
      <c r="AA5" s="48"/>
      <c r="AB5" s="48" t="n">
        <v>203.56</v>
      </c>
      <c r="AC5" s="9"/>
      <c r="AD5" s="9"/>
    </row>
    <row r="6" s="13" customFormat="true" ht="15" hidden="false" customHeight="false" outlineLevel="0" collapsed="false">
      <c r="A6" s="9" t="s">
        <v>344</v>
      </c>
      <c r="B6" s="9" t="s">
        <v>657</v>
      </c>
      <c r="C6" s="47" t="n">
        <v>2140437462</v>
      </c>
      <c r="D6" s="9" t="n">
        <v>43</v>
      </c>
      <c r="F6" s="15" t="s">
        <v>345</v>
      </c>
      <c r="G6" s="35" t="s">
        <v>346</v>
      </c>
      <c r="H6" s="9" t="s">
        <v>33</v>
      </c>
      <c r="J6" s="48" t="n">
        <v>21474.79</v>
      </c>
      <c r="K6" s="9"/>
      <c r="L6" s="48" t="n">
        <v>640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 t="n">
        <v>500.93</v>
      </c>
      <c r="X6" s="48" t="n">
        <v>500.93</v>
      </c>
      <c r="Y6" s="48" t="n">
        <v>500.93</v>
      </c>
      <c r="Z6" s="48" t="n">
        <v>500.93</v>
      </c>
      <c r="AA6" s="48" t="n">
        <v>500.93</v>
      </c>
      <c r="AB6" s="48" t="n">
        <v>500.93</v>
      </c>
      <c r="AC6" s="9"/>
      <c r="AD6" s="9"/>
    </row>
    <row r="7" s="13" customFormat="true" ht="15" hidden="false" customHeight="false" outlineLevel="0" collapsed="false">
      <c r="A7" s="9" t="s">
        <v>362</v>
      </c>
      <c r="B7" s="9" t="s">
        <v>662</v>
      </c>
      <c r="C7" s="47" t="n">
        <v>2567003460</v>
      </c>
      <c r="D7" s="9" t="n">
        <v>5</v>
      </c>
      <c r="F7" s="15" t="s">
        <v>663</v>
      </c>
      <c r="G7" s="15"/>
      <c r="H7" s="9" t="s">
        <v>33</v>
      </c>
      <c r="I7" s="49" t="s">
        <v>34</v>
      </c>
      <c r="J7" s="18" t="n">
        <v>3832.23</v>
      </c>
      <c r="K7" s="9" t="s">
        <v>34</v>
      </c>
      <c r="L7" s="9"/>
      <c r="M7" s="9"/>
      <c r="N7" s="9"/>
      <c r="O7" s="9"/>
      <c r="S7" s="9"/>
      <c r="T7" s="18" t="n">
        <v>766.45</v>
      </c>
      <c r="U7" s="18" t="n">
        <v>766.45</v>
      </c>
      <c r="V7" s="18" t="n">
        <v>766.45</v>
      </c>
      <c r="W7" s="18" t="n">
        <v>766.45</v>
      </c>
      <c r="X7" s="50" t="n">
        <v>766.45</v>
      </c>
      <c r="Y7" s="9"/>
      <c r="Z7" s="9"/>
      <c r="AA7" s="9"/>
      <c r="AB7" s="9"/>
      <c r="AC7" s="9"/>
      <c r="AD7" s="9"/>
    </row>
    <row r="8" s="13" customFormat="true" ht="15" hidden="false" customHeight="false" outlineLevel="0" collapsed="false">
      <c r="A8" s="9" t="s">
        <v>125</v>
      </c>
      <c r="B8" s="9" t="s">
        <v>657</v>
      </c>
      <c r="C8" s="47" t="n">
        <v>28922590459</v>
      </c>
      <c r="D8" s="9" t="n">
        <v>8</v>
      </c>
      <c r="F8" s="11" t="s">
        <v>126</v>
      </c>
      <c r="G8" s="11"/>
      <c r="H8" s="9" t="s">
        <v>33</v>
      </c>
      <c r="I8" s="49" t="s">
        <v>34</v>
      </c>
      <c r="J8" s="48" t="n">
        <v>10765.66</v>
      </c>
      <c r="L8" s="9"/>
      <c r="M8" s="9"/>
      <c r="N8" s="9"/>
      <c r="O8" s="9"/>
      <c r="S8" s="48" t="n">
        <v>1422.03</v>
      </c>
      <c r="T8" s="48" t="n">
        <v>1422.03</v>
      </c>
      <c r="U8" s="48" t="n">
        <v>1422.03</v>
      </c>
      <c r="V8" s="48" t="n">
        <v>1422.03</v>
      </c>
      <c r="W8" s="48" t="n">
        <v>1422.03</v>
      </c>
      <c r="X8" s="48" t="n">
        <v>1422.03</v>
      </c>
      <c r="Y8" s="48" t="n">
        <v>1422.03</v>
      </c>
      <c r="Z8" s="50" t="n">
        <v>811.48</v>
      </c>
      <c r="AA8" s="9"/>
      <c r="AB8" s="9"/>
      <c r="AC8" s="9"/>
      <c r="AD8" s="9"/>
    </row>
    <row r="9" s="13" customFormat="true" ht="15" hidden="false" customHeight="false" outlineLevel="0" collapsed="false">
      <c r="A9" s="27" t="s">
        <v>108</v>
      </c>
      <c r="B9" s="9"/>
      <c r="C9" s="47" t="n">
        <v>26162180468</v>
      </c>
      <c r="D9" s="9" t="n">
        <v>74</v>
      </c>
      <c r="F9" s="11" t="s">
        <v>109</v>
      </c>
      <c r="H9" s="9" t="s">
        <v>33</v>
      </c>
      <c r="J9" s="48" t="n">
        <v>42298.42</v>
      </c>
      <c r="L9" s="9"/>
      <c r="M9" s="9"/>
      <c r="N9" s="9"/>
      <c r="O9" s="9"/>
      <c r="R9" s="48"/>
      <c r="S9" s="48" t="n">
        <v>571.6</v>
      </c>
      <c r="T9" s="48" t="n">
        <v>571.6</v>
      </c>
      <c r="U9" s="48" t="n">
        <v>571.6</v>
      </c>
      <c r="V9" s="48" t="n">
        <v>571.6</v>
      </c>
      <c r="W9" s="48" t="n">
        <v>571.6</v>
      </c>
      <c r="X9" s="48" t="n">
        <v>571.6</v>
      </c>
      <c r="Y9" s="48" t="n">
        <v>571.6</v>
      </c>
      <c r="Z9" s="48" t="n">
        <v>571.6</v>
      </c>
      <c r="AA9" s="48" t="n">
        <v>571.6</v>
      </c>
      <c r="AB9" s="48" t="n">
        <v>571.6</v>
      </c>
      <c r="AC9" s="9"/>
      <c r="AD9" s="9"/>
    </row>
    <row r="10" s="13" customFormat="true" ht="15" hidden="false" customHeight="false" outlineLevel="0" collapsed="false">
      <c r="A10" s="9" t="s">
        <v>572</v>
      </c>
      <c r="B10" s="9" t="s">
        <v>657</v>
      </c>
      <c r="C10" s="47" t="n">
        <v>81327862468</v>
      </c>
      <c r="D10" s="9" t="n">
        <v>21</v>
      </c>
      <c r="F10" s="15" t="s">
        <v>664</v>
      </c>
      <c r="H10" s="9" t="s">
        <v>33</v>
      </c>
      <c r="J10" s="48" t="n">
        <v>31992.08</v>
      </c>
      <c r="L10" s="9"/>
      <c r="M10" s="9"/>
      <c r="N10" s="9"/>
      <c r="O10" s="9"/>
      <c r="S10" s="9"/>
      <c r="T10" s="9"/>
      <c r="U10" s="9"/>
      <c r="V10" s="9"/>
      <c r="W10" s="9"/>
      <c r="X10" s="9"/>
      <c r="Y10" s="9"/>
      <c r="Z10" s="9"/>
      <c r="AA10" s="48" t="n">
        <v>1551.79</v>
      </c>
      <c r="AB10" s="48" t="n">
        <v>1551.79</v>
      </c>
      <c r="AC10" s="48"/>
      <c r="AD10" s="48"/>
    </row>
    <row r="11" s="13" customFormat="true" ht="15" hidden="false" customHeight="false" outlineLevel="0" collapsed="false">
      <c r="A11" s="9" t="s">
        <v>418</v>
      </c>
      <c r="B11" s="9" t="s">
        <v>657</v>
      </c>
      <c r="C11" s="47" t="n">
        <v>9060340434</v>
      </c>
      <c r="D11" s="9" t="n">
        <v>32</v>
      </c>
      <c r="F11" s="11" t="s">
        <v>167</v>
      </c>
      <c r="H11" s="9" t="s">
        <v>33</v>
      </c>
      <c r="J11" s="48" t="n">
        <v>44890.24</v>
      </c>
      <c r="L11" s="9"/>
      <c r="M11" s="9"/>
      <c r="N11" s="9"/>
      <c r="O11" s="9"/>
      <c r="S11" s="9"/>
      <c r="T11" s="48" t="n">
        <v>1435.88</v>
      </c>
      <c r="U11" s="48" t="n">
        <v>1435.88</v>
      </c>
      <c r="V11" s="48" t="n">
        <v>1435.88</v>
      </c>
      <c r="W11" s="48" t="n">
        <v>1435.88</v>
      </c>
      <c r="X11" s="48" t="n">
        <v>1435.88</v>
      </c>
      <c r="Y11" s="48" t="n">
        <v>1435.88</v>
      </c>
      <c r="Z11" s="48" t="n">
        <v>1435.88</v>
      </c>
      <c r="AA11" s="48" t="n">
        <v>1435.88</v>
      </c>
      <c r="AB11" s="48" t="n">
        <v>1435.88</v>
      </c>
      <c r="AC11" s="18"/>
      <c r="AD11" s="18"/>
    </row>
    <row r="12" s="13" customFormat="true" ht="15" hidden="false" customHeight="false" outlineLevel="0" collapsed="false">
      <c r="A12" s="9" t="s">
        <v>629</v>
      </c>
      <c r="B12" s="9" t="s">
        <v>657</v>
      </c>
      <c r="C12" s="47" t="n">
        <v>789686406</v>
      </c>
      <c r="D12" s="9" t="n">
        <v>55</v>
      </c>
      <c r="F12" s="15" t="s">
        <v>665</v>
      </c>
      <c r="H12" s="9" t="s">
        <v>33</v>
      </c>
      <c r="J12" s="48" t="n">
        <v>56856.07</v>
      </c>
      <c r="L12" s="9"/>
      <c r="M12" s="9"/>
      <c r="N12" s="9"/>
      <c r="O12" s="9"/>
      <c r="S12" s="9"/>
      <c r="T12" s="9"/>
      <c r="U12" s="48" t="n">
        <v>1038.82</v>
      </c>
      <c r="V12" s="48" t="n">
        <v>1038.82</v>
      </c>
      <c r="W12" s="48" t="n">
        <v>1038.82</v>
      </c>
      <c r="X12" s="48" t="n">
        <v>1038.82</v>
      </c>
      <c r="Y12" s="48" t="n">
        <v>1038.82</v>
      </c>
      <c r="Z12" s="48" t="n">
        <v>1038.82</v>
      </c>
      <c r="AA12" s="48" t="n">
        <v>1094.91</v>
      </c>
      <c r="AB12" s="48" t="n">
        <v>1094.91</v>
      </c>
      <c r="AC12" s="48" t="n">
        <v>1094.91</v>
      </c>
      <c r="AD12" s="9"/>
    </row>
    <row r="13" s="13" customFormat="true" ht="15" hidden="false" customHeight="false" outlineLevel="0" collapsed="false">
      <c r="A13" s="9" t="s">
        <v>398</v>
      </c>
      <c r="B13" s="9" t="s">
        <v>657</v>
      </c>
      <c r="C13" s="47" t="n">
        <v>3465952405</v>
      </c>
      <c r="D13" s="9" t="n">
        <v>7</v>
      </c>
      <c r="F13" s="9" t="s">
        <v>279</v>
      </c>
      <c r="G13" s="15" t="s">
        <v>666</v>
      </c>
      <c r="H13" s="9" t="s">
        <v>33</v>
      </c>
      <c r="I13" s="49" t="s">
        <v>34</v>
      </c>
      <c r="J13" s="48" t="n">
        <v>6175.3</v>
      </c>
      <c r="K13" s="9"/>
      <c r="L13" s="9"/>
      <c r="M13" s="9"/>
      <c r="N13" s="18" t="n">
        <v>966.72</v>
      </c>
      <c r="O13" s="18" t="n">
        <v>966.72</v>
      </c>
      <c r="P13" s="18" t="n">
        <v>966.72</v>
      </c>
      <c r="Q13" s="18" t="n">
        <v>966.72</v>
      </c>
      <c r="R13" s="18" t="n">
        <v>966.72</v>
      </c>
      <c r="S13" s="18" t="n">
        <v>966.72</v>
      </c>
      <c r="T13" s="50" t="n">
        <v>374.98</v>
      </c>
      <c r="U13" s="9"/>
      <c r="V13" s="9"/>
      <c r="W13" s="9"/>
      <c r="X13" s="9"/>
      <c r="Y13" s="9"/>
      <c r="Z13" s="9"/>
      <c r="AA13" s="9"/>
      <c r="AB13" s="9"/>
      <c r="AC13" s="18"/>
      <c r="AD13" s="18"/>
    </row>
    <row r="14" s="13" customFormat="true" ht="15" hidden="false" customHeight="false" outlineLevel="0" collapsed="false">
      <c r="A14" s="9" t="s">
        <v>85</v>
      </c>
      <c r="B14" s="9" t="s">
        <v>657</v>
      </c>
      <c r="C14" s="47" t="n">
        <v>76217663449</v>
      </c>
      <c r="D14" s="9" t="n">
        <v>59</v>
      </c>
      <c r="F14" s="51" t="s">
        <v>667</v>
      </c>
      <c r="G14" s="51"/>
      <c r="H14" s="9" t="s">
        <v>33</v>
      </c>
      <c r="J14" s="18" t="n">
        <v>19845.59</v>
      </c>
      <c r="L14" s="9"/>
      <c r="M14" s="9"/>
      <c r="N14" s="9"/>
      <c r="O14" s="18" t="n">
        <v>338.85</v>
      </c>
      <c r="P14" s="18" t="n">
        <v>338.85</v>
      </c>
      <c r="Q14" s="18" t="n">
        <v>338.85</v>
      </c>
      <c r="R14" s="18" t="n">
        <v>338.85</v>
      </c>
      <c r="S14" s="18" t="n">
        <v>338.85</v>
      </c>
      <c r="T14" s="18" t="n">
        <v>338.85</v>
      </c>
      <c r="U14" s="18" t="n">
        <v>338.85</v>
      </c>
      <c r="V14" s="18" t="n">
        <v>338.85</v>
      </c>
      <c r="W14" s="18" t="n">
        <v>338.85</v>
      </c>
      <c r="X14" s="18" t="n">
        <v>338.85</v>
      </c>
      <c r="Y14" s="18" t="n">
        <v>338.85</v>
      </c>
      <c r="Z14" s="18" t="n">
        <v>338.85</v>
      </c>
      <c r="AA14" s="18" t="n">
        <v>338.85</v>
      </c>
      <c r="AB14" s="18" t="n">
        <v>338.85</v>
      </c>
      <c r="AC14" s="9"/>
      <c r="AD14" s="9"/>
    </row>
    <row r="15" s="13" customFormat="true" ht="15" hidden="false" customHeight="false" outlineLevel="0" collapsed="false">
      <c r="A15" s="9" t="s">
        <v>97</v>
      </c>
      <c r="B15" s="9" t="s">
        <v>658</v>
      </c>
      <c r="C15" s="47" t="n">
        <v>6975973423</v>
      </c>
      <c r="D15" s="9" t="n">
        <v>2</v>
      </c>
      <c r="F15" s="9" t="s">
        <v>668</v>
      </c>
      <c r="H15" s="9" t="s">
        <v>33</v>
      </c>
      <c r="I15" s="49" t="s">
        <v>34</v>
      </c>
      <c r="J15" s="48" t="n">
        <v>1200.57</v>
      </c>
      <c r="K15" s="9" t="s">
        <v>34</v>
      </c>
      <c r="L15" s="9"/>
      <c r="M15" s="9"/>
      <c r="N15" s="9"/>
      <c r="O15" s="9"/>
      <c r="S15" s="9"/>
      <c r="T15" s="48" t="n">
        <v>600.28</v>
      </c>
      <c r="U15" s="50" t="n">
        <v>600.28</v>
      </c>
      <c r="V15" s="9"/>
      <c r="W15" s="9"/>
      <c r="X15" s="9"/>
      <c r="Y15" s="9"/>
      <c r="Z15" s="9"/>
      <c r="AA15" s="9"/>
      <c r="AB15" s="9"/>
      <c r="AC15" s="18"/>
      <c r="AD15" s="18"/>
    </row>
    <row r="16" s="13" customFormat="true" ht="15" hidden="false" customHeight="false" outlineLevel="0" collapsed="false">
      <c r="A16" s="9" t="s">
        <v>320</v>
      </c>
      <c r="B16" s="9" t="s">
        <v>657</v>
      </c>
      <c r="C16" s="47" t="n">
        <v>70198144415</v>
      </c>
      <c r="D16" s="9" t="n">
        <v>12</v>
      </c>
      <c r="F16" s="51" t="s">
        <v>669</v>
      </c>
      <c r="G16" s="51"/>
      <c r="H16" s="9" t="s">
        <v>33</v>
      </c>
      <c r="J16" s="48" t="n">
        <v>5766.98</v>
      </c>
      <c r="K16" s="9"/>
      <c r="L16" s="9"/>
      <c r="M16" s="9"/>
      <c r="N16" s="9"/>
      <c r="O16" s="9"/>
      <c r="S16" s="9"/>
      <c r="T16" s="48" t="n">
        <v>480.58</v>
      </c>
      <c r="U16" s="48" t="n">
        <v>480.58</v>
      </c>
      <c r="V16" s="48" t="n">
        <v>480.58</v>
      </c>
      <c r="W16" s="48" t="n">
        <v>480.58</v>
      </c>
      <c r="X16" s="48" t="n">
        <v>480.58</v>
      </c>
      <c r="Y16" s="48" t="n">
        <v>480.58</v>
      </c>
      <c r="Z16" s="48" t="n">
        <v>480.58</v>
      </c>
      <c r="AA16" s="48" t="n">
        <v>480.58</v>
      </c>
      <c r="AB16" s="48" t="n">
        <v>480.58</v>
      </c>
      <c r="AC16" s="9"/>
      <c r="AD16" s="9"/>
    </row>
    <row r="17" s="13" customFormat="true" ht="15" hidden="false" customHeight="false" outlineLevel="0" collapsed="false">
      <c r="A17" s="9" t="s">
        <v>318</v>
      </c>
      <c r="B17" s="9" t="s">
        <v>657</v>
      </c>
      <c r="C17" s="47" t="n">
        <v>22983333434</v>
      </c>
      <c r="D17" s="9" t="n">
        <v>59</v>
      </c>
      <c r="F17" s="11" t="s">
        <v>25</v>
      </c>
      <c r="H17" s="9" t="s">
        <v>33</v>
      </c>
      <c r="J17" s="48" t="n">
        <v>43697.21</v>
      </c>
      <c r="L17" s="9"/>
      <c r="M17" s="9"/>
      <c r="N17" s="9"/>
      <c r="O17" s="9"/>
      <c r="S17" s="9"/>
      <c r="T17" s="9"/>
      <c r="U17" s="9"/>
      <c r="V17" s="9"/>
      <c r="W17" s="9"/>
      <c r="X17" s="9"/>
      <c r="Y17" s="48" t="n">
        <v>751.43</v>
      </c>
      <c r="Z17" s="48" t="n">
        <v>751.43</v>
      </c>
      <c r="AA17" s="48" t="n">
        <v>751.43</v>
      </c>
      <c r="AB17" s="48" t="n">
        <v>751.43</v>
      </c>
      <c r="AC17" s="48"/>
      <c r="AD17" s="48"/>
    </row>
    <row r="18" s="13" customFormat="true" ht="15" hidden="false" customHeight="false" outlineLevel="0" collapsed="false">
      <c r="A18" s="9" t="s">
        <v>421</v>
      </c>
      <c r="B18" s="9" t="s">
        <v>657</v>
      </c>
      <c r="C18" s="47" t="n">
        <v>46524061420</v>
      </c>
      <c r="D18" s="9" t="n">
        <v>9</v>
      </c>
      <c r="F18" s="11" t="s">
        <v>25</v>
      </c>
      <c r="G18" s="11"/>
      <c r="H18" s="9" t="s">
        <v>33</v>
      </c>
      <c r="J18" s="18" t="n">
        <v>5443.94</v>
      </c>
      <c r="L18" s="9"/>
      <c r="M18" s="9"/>
      <c r="N18" s="9"/>
      <c r="O18" s="9"/>
      <c r="S18" s="9"/>
      <c r="T18" s="9"/>
      <c r="U18" s="18" t="n">
        <v>653.95</v>
      </c>
      <c r="V18" s="18" t="n">
        <v>653.95</v>
      </c>
      <c r="W18" s="18" t="n">
        <v>653.95</v>
      </c>
      <c r="X18" s="9"/>
      <c r="Y18" s="9"/>
      <c r="Z18" s="18" t="n">
        <v>653.95</v>
      </c>
      <c r="AA18" s="18" t="n">
        <v>653.95</v>
      </c>
      <c r="AB18" s="18" t="n">
        <v>653.95</v>
      </c>
      <c r="AC18" s="18"/>
      <c r="AD18" s="18"/>
    </row>
    <row r="19" s="13" customFormat="true" ht="15" hidden="false" customHeight="false" outlineLevel="0" collapsed="false">
      <c r="A19" s="27" t="s">
        <v>335</v>
      </c>
      <c r="B19" s="9" t="s">
        <v>670</v>
      </c>
      <c r="C19" s="47" t="n">
        <v>55215335400</v>
      </c>
      <c r="D19" s="9" t="n">
        <v>10</v>
      </c>
      <c r="F19" s="15" t="s">
        <v>336</v>
      </c>
      <c r="G19" s="15"/>
      <c r="H19" s="9" t="s">
        <v>33</v>
      </c>
      <c r="J19" s="18" t="n">
        <v>1884.68</v>
      </c>
      <c r="L19" s="9"/>
      <c r="M19" s="9"/>
      <c r="N19" s="9"/>
      <c r="O19" s="9"/>
      <c r="S19" s="9"/>
      <c r="T19" s="9"/>
      <c r="U19" s="9"/>
      <c r="V19" s="9"/>
      <c r="W19" s="18" t="n">
        <v>188.46</v>
      </c>
      <c r="X19" s="18" t="n">
        <v>188.46</v>
      </c>
      <c r="Y19" s="18" t="n">
        <v>188.46</v>
      </c>
      <c r="Z19" s="18" t="n">
        <v>188.46</v>
      </c>
      <c r="AA19" s="18" t="n">
        <v>188.46</v>
      </c>
      <c r="AB19" s="18" t="n">
        <v>188.46</v>
      </c>
      <c r="AC19" s="9"/>
      <c r="AD19" s="9"/>
    </row>
    <row r="20" s="13" customFormat="true" ht="15" hidden="false" customHeight="false" outlineLevel="0" collapsed="false">
      <c r="A20" s="9" t="s">
        <v>378</v>
      </c>
      <c r="B20" s="9" t="s">
        <v>657</v>
      </c>
      <c r="C20" s="47" t="n">
        <v>4383990487</v>
      </c>
      <c r="D20" s="9" t="n">
        <v>48</v>
      </c>
      <c r="F20" s="11" t="s">
        <v>25</v>
      </c>
      <c r="H20" s="9" t="s">
        <v>33</v>
      </c>
      <c r="J20" s="48" t="n">
        <v>35480.87</v>
      </c>
      <c r="L20" s="9"/>
      <c r="M20" s="9"/>
      <c r="N20" s="9"/>
      <c r="O20" s="9"/>
      <c r="S20" s="9"/>
      <c r="T20" s="9"/>
      <c r="U20" s="9"/>
      <c r="V20" s="9"/>
      <c r="W20" s="48" t="n">
        <v>745.6</v>
      </c>
      <c r="X20" s="48" t="n">
        <v>745.6</v>
      </c>
      <c r="Y20" s="48" t="n">
        <v>745.6</v>
      </c>
      <c r="Z20" s="48" t="n">
        <v>745.6</v>
      </c>
      <c r="AA20" s="48" t="n">
        <v>745.6</v>
      </c>
      <c r="AB20" s="48" t="n">
        <v>745.6</v>
      </c>
      <c r="AC20" s="9"/>
      <c r="AD20" s="9"/>
    </row>
    <row r="21" s="13" customFormat="true" ht="15" hidden="false" customHeight="false" outlineLevel="0" collapsed="false">
      <c r="A21" s="9" t="s">
        <v>329</v>
      </c>
      <c r="B21" s="9" t="s">
        <v>657</v>
      </c>
      <c r="C21" s="47" t="n">
        <v>12977608400</v>
      </c>
      <c r="D21" s="9" t="n">
        <v>61</v>
      </c>
      <c r="F21" s="15" t="s">
        <v>671</v>
      </c>
      <c r="G21" s="15"/>
      <c r="H21" s="9" t="s">
        <v>33</v>
      </c>
      <c r="J21" s="18" t="n">
        <v>31270.98</v>
      </c>
      <c r="L21" s="9"/>
      <c r="M21" s="9"/>
      <c r="N21" s="9"/>
      <c r="O21" s="9"/>
      <c r="S21" s="9"/>
      <c r="T21" s="9"/>
      <c r="U21" s="18" t="n">
        <v>515.75</v>
      </c>
      <c r="V21" s="18" t="n">
        <v>515.75</v>
      </c>
      <c r="W21" s="18" t="n">
        <v>515.75</v>
      </c>
      <c r="X21" s="18" t="n">
        <v>515.75</v>
      </c>
      <c r="Y21" s="18" t="n">
        <v>515.75</v>
      </c>
      <c r="Z21" s="18" t="n">
        <v>515.75</v>
      </c>
      <c r="AA21" s="18" t="n">
        <v>515.75</v>
      </c>
      <c r="AB21" s="18" t="n">
        <v>515.75</v>
      </c>
      <c r="AC21" s="9"/>
      <c r="AD21" s="9"/>
    </row>
    <row r="22" s="13" customFormat="true" ht="15" hidden="false" customHeight="false" outlineLevel="0" collapsed="false">
      <c r="A22" s="9" t="s">
        <v>300</v>
      </c>
      <c r="B22" s="9" t="s">
        <v>672</v>
      </c>
      <c r="C22" s="47" t="n">
        <v>59682574404</v>
      </c>
      <c r="D22" s="9" t="n">
        <v>2</v>
      </c>
      <c r="F22" s="15" t="s">
        <v>673</v>
      </c>
      <c r="H22" s="9" t="s">
        <v>33</v>
      </c>
      <c r="I22" s="49" t="s">
        <v>34</v>
      </c>
      <c r="J22" s="48" t="n">
        <v>5632.35</v>
      </c>
      <c r="K22" s="9" t="s">
        <v>34</v>
      </c>
      <c r="L22" s="9"/>
      <c r="M22" s="9"/>
      <c r="N22" s="9"/>
      <c r="O22" s="9"/>
      <c r="S22" s="9"/>
      <c r="T22" s="9"/>
      <c r="U22" s="48" t="n">
        <v>4155.57</v>
      </c>
      <c r="V22" s="50" t="n">
        <v>1476.78</v>
      </c>
      <c r="W22" s="9"/>
      <c r="X22" s="9"/>
      <c r="Y22" s="9"/>
      <c r="Z22" s="9"/>
      <c r="AA22" s="9"/>
      <c r="AB22" s="9"/>
      <c r="AC22" s="9"/>
      <c r="AD22" s="9"/>
    </row>
    <row r="23" s="13" customFormat="true" ht="15" hidden="false" customHeight="false" outlineLevel="0" collapsed="false">
      <c r="A23" s="9" t="s">
        <v>481</v>
      </c>
      <c r="B23" s="9" t="s">
        <v>657</v>
      </c>
      <c r="C23" s="47" t="n">
        <v>15706141487</v>
      </c>
      <c r="D23" s="9" t="n">
        <v>12</v>
      </c>
      <c r="F23" s="9" t="s">
        <v>279</v>
      </c>
      <c r="G23" s="9"/>
      <c r="H23" s="9" t="s">
        <v>33</v>
      </c>
      <c r="J23" s="18" t="n">
        <v>11968.94</v>
      </c>
      <c r="L23" s="9"/>
      <c r="M23" s="9"/>
      <c r="N23" s="9"/>
      <c r="O23" s="9"/>
      <c r="R23" s="18" t="n">
        <v>997.41</v>
      </c>
      <c r="S23" s="18" t="n">
        <v>997.41</v>
      </c>
      <c r="T23" s="18" t="n">
        <v>997.41</v>
      </c>
      <c r="U23" s="18" t="n">
        <v>997.41</v>
      </c>
      <c r="V23" s="18" t="n">
        <v>997.41</v>
      </c>
      <c r="W23" s="18" t="n">
        <v>997.41</v>
      </c>
      <c r="X23" s="18" t="n">
        <v>997.41</v>
      </c>
      <c r="Y23" s="18" t="n">
        <v>997.41</v>
      </c>
      <c r="Z23" s="18" t="n">
        <v>997.41</v>
      </c>
      <c r="AA23" s="18" t="n">
        <v>997.41</v>
      </c>
      <c r="AB23" s="18" t="n">
        <v>997.41</v>
      </c>
      <c r="AC23" s="9"/>
      <c r="AD23" s="9"/>
    </row>
    <row r="24" s="13" customFormat="true" ht="15" hidden="false" customHeight="false" outlineLevel="0" collapsed="false">
      <c r="A24" s="9" t="s">
        <v>406</v>
      </c>
      <c r="B24" s="9" t="s">
        <v>674</v>
      </c>
      <c r="C24" s="47" t="n">
        <v>5020735434</v>
      </c>
      <c r="D24" s="9" t="n">
        <v>1</v>
      </c>
      <c r="F24" s="9" t="s">
        <v>407</v>
      </c>
      <c r="G24" s="9"/>
      <c r="H24" s="9" t="s">
        <v>33</v>
      </c>
      <c r="I24" s="49" t="s">
        <v>34</v>
      </c>
      <c r="J24" s="18" t="n">
        <v>1038.76</v>
      </c>
      <c r="L24" s="9"/>
      <c r="M24" s="9"/>
      <c r="N24" s="9"/>
      <c r="O24" s="9"/>
      <c r="S24" s="9"/>
      <c r="T24" s="9"/>
      <c r="U24" s="18"/>
      <c r="V24" s="50" t="n">
        <v>1038.76</v>
      </c>
      <c r="W24" s="9"/>
      <c r="X24" s="9"/>
      <c r="Y24" s="9"/>
      <c r="Z24" s="9"/>
      <c r="AA24" s="9"/>
      <c r="AB24" s="9"/>
      <c r="AC24" s="48"/>
      <c r="AD24" s="48"/>
    </row>
    <row r="25" s="13" customFormat="true" ht="15" hidden="false" customHeight="false" outlineLevel="0" collapsed="false">
      <c r="A25" s="9" t="s">
        <v>166</v>
      </c>
      <c r="B25" s="9" t="s">
        <v>657</v>
      </c>
      <c r="C25" s="47" t="n">
        <v>1075318440</v>
      </c>
      <c r="D25" s="9" t="n">
        <v>30</v>
      </c>
      <c r="F25" s="11" t="s">
        <v>167</v>
      </c>
      <c r="G25" s="11"/>
      <c r="H25" s="9" t="s">
        <v>33</v>
      </c>
      <c r="J25" s="48" t="n">
        <v>28601.96</v>
      </c>
      <c r="K25" s="9"/>
      <c r="L25" s="48"/>
      <c r="M25" s="48"/>
      <c r="N25" s="48" t="n">
        <v>953.4</v>
      </c>
      <c r="O25" s="48" t="n">
        <v>953.4</v>
      </c>
      <c r="P25" s="48" t="n">
        <v>953.4</v>
      </c>
      <c r="Q25" s="48" t="n">
        <v>953.4</v>
      </c>
      <c r="R25" s="48" t="n">
        <v>953.4</v>
      </c>
      <c r="S25" s="48" t="n">
        <v>953.4</v>
      </c>
      <c r="T25" s="48" t="n">
        <v>953.4</v>
      </c>
      <c r="U25" s="48" t="n">
        <v>953.4</v>
      </c>
      <c r="V25" s="48" t="n">
        <v>953.4</v>
      </c>
      <c r="W25" s="48" t="n">
        <v>953.4</v>
      </c>
      <c r="X25" s="48" t="n">
        <v>953.4</v>
      </c>
      <c r="Y25" s="48" t="n">
        <v>953.4</v>
      </c>
      <c r="Z25" s="48" t="n">
        <v>953.4</v>
      </c>
      <c r="AA25" s="48" t="n">
        <v>953.4</v>
      </c>
      <c r="AB25" s="48" t="n">
        <v>953.4</v>
      </c>
      <c r="AC25" s="48"/>
      <c r="AD25" s="48"/>
    </row>
    <row r="26" s="13" customFormat="true" ht="15" hidden="false" customHeight="false" outlineLevel="0" collapsed="false">
      <c r="A26" s="9" t="s">
        <v>466</v>
      </c>
      <c r="B26" s="9" t="s">
        <v>675</v>
      </c>
      <c r="C26" s="9" t="n">
        <v>50149806434</v>
      </c>
      <c r="D26" s="9" t="n">
        <v>96</v>
      </c>
      <c r="F26" s="11" t="s">
        <v>279</v>
      </c>
      <c r="G26" s="11"/>
      <c r="H26" s="9" t="s">
        <v>33</v>
      </c>
      <c r="J26" s="48" t="n">
        <v>55475.46</v>
      </c>
      <c r="K26" s="9"/>
      <c r="L26" s="52"/>
      <c r="M26" s="52"/>
      <c r="N26" s="52"/>
      <c r="O26" s="52"/>
      <c r="P26" s="18" t="n">
        <v>577.86</v>
      </c>
      <c r="Q26" s="18" t="n">
        <v>577.86</v>
      </c>
      <c r="R26" s="18" t="n">
        <v>577.86</v>
      </c>
      <c r="S26" s="18" t="n">
        <v>577.86</v>
      </c>
      <c r="T26" s="18" t="n">
        <v>577.86</v>
      </c>
      <c r="U26" s="18" t="n">
        <v>577.86</v>
      </c>
      <c r="V26" s="18" t="n">
        <v>577.86</v>
      </c>
      <c r="W26" s="18" t="n">
        <v>577.86</v>
      </c>
      <c r="X26" s="18" t="n">
        <v>577.86</v>
      </c>
      <c r="Y26" s="18" t="n">
        <v>577.86</v>
      </c>
      <c r="Z26" s="18" t="n">
        <v>577.86</v>
      </c>
      <c r="AA26" s="18" t="n">
        <v>577.86</v>
      </c>
      <c r="AB26" s="18" t="n">
        <v>577.86</v>
      </c>
      <c r="AC26" s="9"/>
      <c r="AD26" s="9"/>
    </row>
    <row r="27" s="13" customFormat="true" ht="15" hidden="false" customHeight="false" outlineLevel="0" collapsed="false">
      <c r="A27" s="9" t="s">
        <v>532</v>
      </c>
      <c r="B27" s="9" t="s">
        <v>657</v>
      </c>
      <c r="C27" s="47" t="n">
        <v>50104411449</v>
      </c>
      <c r="D27" s="9" t="n">
        <v>11</v>
      </c>
      <c r="F27" s="11" t="s">
        <v>126</v>
      </c>
      <c r="G27" s="11"/>
      <c r="H27" s="9" t="s">
        <v>33</v>
      </c>
      <c r="J27" s="18" t="n">
        <v>4556.05</v>
      </c>
      <c r="L27" s="9"/>
      <c r="M27" s="9"/>
      <c r="N27" s="9"/>
      <c r="O27" s="9"/>
      <c r="S27" s="9"/>
      <c r="T27" s="9"/>
      <c r="U27" s="18"/>
      <c r="V27" s="18" t="n">
        <v>444.01</v>
      </c>
      <c r="W27" s="18" t="n">
        <v>444.01</v>
      </c>
      <c r="X27" s="18" t="n">
        <v>444.01</v>
      </c>
      <c r="Y27" s="18" t="n">
        <v>444.01</v>
      </c>
      <c r="Z27" s="18" t="n">
        <v>444.01</v>
      </c>
      <c r="AA27" s="18" t="n">
        <v>444.01</v>
      </c>
      <c r="AB27" s="18" t="n">
        <v>444.01</v>
      </c>
      <c r="AC27" s="48"/>
      <c r="AD27" s="48"/>
    </row>
    <row r="28" s="13" customFormat="true" ht="15" hidden="false" customHeight="false" outlineLevel="0" collapsed="false">
      <c r="A28" s="9" t="s">
        <v>541</v>
      </c>
      <c r="B28" s="9" t="s">
        <v>657</v>
      </c>
      <c r="C28" s="47" t="n">
        <v>6432232406</v>
      </c>
      <c r="D28" s="9" t="n">
        <v>46</v>
      </c>
      <c r="F28" s="15" t="s">
        <v>676</v>
      </c>
      <c r="G28" s="15"/>
      <c r="H28" s="9" t="s">
        <v>33</v>
      </c>
      <c r="J28" s="18" t="n">
        <v>6897.45</v>
      </c>
      <c r="L28" s="9"/>
      <c r="M28" s="9"/>
      <c r="N28" s="9"/>
      <c r="O28" s="9"/>
      <c r="S28" s="9"/>
      <c r="T28" s="9"/>
      <c r="U28" s="18"/>
      <c r="V28" s="18"/>
      <c r="W28" s="18" t="n">
        <v>150</v>
      </c>
      <c r="X28" s="18" t="n">
        <v>150</v>
      </c>
      <c r="Y28" s="18" t="n">
        <v>150</v>
      </c>
      <c r="Z28" s="18" t="n">
        <v>150</v>
      </c>
      <c r="AA28" s="9"/>
      <c r="AB28" s="18" t="n">
        <v>150</v>
      </c>
      <c r="AC28" s="18"/>
      <c r="AD28" s="18"/>
    </row>
    <row r="29" s="13" customFormat="true" ht="15" hidden="false" customHeight="false" outlineLevel="0" collapsed="false">
      <c r="A29" s="9" t="s">
        <v>182</v>
      </c>
      <c r="B29" s="9" t="s">
        <v>658</v>
      </c>
      <c r="C29" s="47" t="n">
        <v>53838033434</v>
      </c>
      <c r="D29" s="9" t="n">
        <v>1</v>
      </c>
      <c r="F29" s="15" t="s">
        <v>659</v>
      </c>
      <c r="I29" s="49" t="s">
        <v>34</v>
      </c>
      <c r="J29" s="18" t="n">
        <v>2115.48</v>
      </c>
      <c r="K29" s="9" t="s">
        <v>34</v>
      </c>
      <c r="L29" s="9"/>
      <c r="M29" s="9"/>
      <c r="N29" s="9"/>
      <c r="O29" s="9"/>
      <c r="S29" s="9"/>
      <c r="T29" s="9"/>
      <c r="U29" s="53" t="n">
        <v>2115.48</v>
      </c>
      <c r="V29" s="9"/>
      <c r="W29" s="9"/>
      <c r="X29" s="9"/>
      <c r="Y29" s="9"/>
      <c r="Z29" s="9"/>
      <c r="AA29" s="9"/>
      <c r="AB29" s="9"/>
      <c r="AC29" s="9"/>
      <c r="AD29" s="9"/>
    </row>
    <row r="30" s="13" customFormat="true" ht="15" hidden="false" customHeight="false" outlineLevel="0" collapsed="false">
      <c r="A30" s="9" t="s">
        <v>236</v>
      </c>
      <c r="B30" s="9" t="s">
        <v>675</v>
      </c>
      <c r="C30" s="47" t="n">
        <v>85248290449</v>
      </c>
      <c r="D30" s="9" t="n">
        <v>1</v>
      </c>
      <c r="F30" s="15" t="s">
        <v>677</v>
      </c>
      <c r="I30" s="49" t="s">
        <v>34</v>
      </c>
      <c r="J30" s="18" t="n">
        <v>294.02</v>
      </c>
      <c r="L30" s="9"/>
      <c r="M30" s="9"/>
      <c r="N30" s="9"/>
      <c r="O30" s="9"/>
      <c r="S30" s="9"/>
      <c r="T30" s="9"/>
      <c r="U30" s="53" t="n">
        <v>294.02</v>
      </c>
      <c r="V30" s="9"/>
      <c r="W30" s="9"/>
      <c r="X30" s="9"/>
      <c r="Y30" s="9"/>
      <c r="Z30" s="9"/>
      <c r="AA30" s="9"/>
      <c r="AB30" s="9"/>
      <c r="AC30" s="52"/>
      <c r="AD30" s="52"/>
    </row>
    <row r="31" s="13" customFormat="true" ht="15" hidden="false" customHeight="false" outlineLevel="0" collapsed="false">
      <c r="A31" s="9" t="s">
        <v>570</v>
      </c>
      <c r="B31" s="9" t="s">
        <v>657</v>
      </c>
      <c r="C31" s="47" t="n">
        <v>37824023400</v>
      </c>
      <c r="D31" s="9" t="n">
        <v>15</v>
      </c>
      <c r="F31" s="11" t="s">
        <v>25</v>
      </c>
      <c r="G31" s="11"/>
      <c r="H31" s="9" t="s">
        <v>33</v>
      </c>
      <c r="J31" s="48" t="n">
        <v>14883.62</v>
      </c>
      <c r="L31" s="9"/>
      <c r="M31" s="9"/>
      <c r="N31" s="9"/>
      <c r="O31" s="9"/>
      <c r="S31" s="9"/>
      <c r="T31" s="9"/>
      <c r="U31" s="9"/>
      <c r="V31" s="9"/>
      <c r="W31" s="48" t="n">
        <v>1034.2</v>
      </c>
      <c r="X31" s="48" t="n">
        <v>1034.2</v>
      </c>
      <c r="Y31" s="48" t="n">
        <v>1034.2</v>
      </c>
      <c r="Z31" s="48" t="n">
        <v>1034.2</v>
      </c>
      <c r="AA31" s="48" t="n">
        <v>1034.2</v>
      </c>
      <c r="AB31" s="48" t="n">
        <v>1034.2</v>
      </c>
      <c r="AC31" s="48"/>
      <c r="AD31" s="48"/>
    </row>
    <row r="32" s="13" customFormat="true" ht="15" hidden="false" customHeight="false" outlineLevel="0" collapsed="false">
      <c r="A32" s="9" t="s">
        <v>387</v>
      </c>
      <c r="B32" s="9" t="s">
        <v>672</v>
      </c>
      <c r="C32" s="47" t="n">
        <v>2445986494</v>
      </c>
      <c r="D32" s="9" t="n">
        <v>1</v>
      </c>
      <c r="F32" s="15" t="s">
        <v>234</v>
      </c>
      <c r="G32" s="15"/>
      <c r="H32" s="9" t="s">
        <v>33</v>
      </c>
      <c r="I32" s="49" t="s">
        <v>34</v>
      </c>
      <c r="J32" s="18" t="n">
        <v>2521.43</v>
      </c>
      <c r="K32" s="9" t="s">
        <v>34</v>
      </c>
      <c r="L32" s="9"/>
      <c r="M32" s="9"/>
      <c r="N32" s="9"/>
      <c r="O32" s="9"/>
      <c r="S32" s="9"/>
      <c r="T32" s="9"/>
      <c r="U32" s="53" t="n">
        <v>2521.43</v>
      </c>
      <c r="V32" s="9"/>
      <c r="W32" s="9"/>
      <c r="X32" s="9"/>
      <c r="Y32" s="9"/>
      <c r="Z32" s="9"/>
      <c r="AA32" s="9"/>
      <c r="AB32" s="9"/>
      <c r="AC32" s="48"/>
      <c r="AD32" s="48"/>
    </row>
    <row r="33" s="13" customFormat="true" ht="15" hidden="false" customHeight="false" outlineLevel="0" collapsed="false">
      <c r="A33" s="9" t="s">
        <v>511</v>
      </c>
      <c r="B33" s="9" t="s">
        <v>657</v>
      </c>
      <c r="C33" s="47" t="n">
        <v>1179288440</v>
      </c>
      <c r="D33" s="9" t="n">
        <v>36</v>
      </c>
      <c r="F33" s="15" t="s">
        <v>43</v>
      </c>
      <c r="H33" s="9" t="s">
        <v>33</v>
      </c>
      <c r="J33" s="48" t="n">
        <v>36097.73</v>
      </c>
      <c r="L33" s="9"/>
      <c r="M33" s="9"/>
      <c r="N33" s="9"/>
      <c r="O33" s="9"/>
      <c r="S33" s="9"/>
      <c r="T33" s="9"/>
      <c r="U33" s="9"/>
      <c r="V33" s="9"/>
      <c r="W33" s="9"/>
      <c r="X33" s="9"/>
      <c r="Y33" s="9"/>
      <c r="Z33" s="9"/>
      <c r="AA33" s="48" t="n">
        <v>1002.71</v>
      </c>
      <c r="AB33" s="48" t="n">
        <v>1002.71</v>
      </c>
      <c r="AC33" s="48"/>
      <c r="AD33" s="48"/>
    </row>
    <row r="34" s="13" customFormat="true" ht="15" hidden="false" customHeight="false" outlineLevel="0" collapsed="false">
      <c r="A34" s="30" t="s">
        <v>253</v>
      </c>
      <c r="B34" s="30" t="s">
        <v>658</v>
      </c>
      <c r="C34" s="30" t="n">
        <v>13070231420</v>
      </c>
      <c r="D34" s="30" t="n">
        <v>40</v>
      </c>
      <c r="E34" s="54" t="s">
        <v>678</v>
      </c>
      <c r="F34" s="54"/>
      <c r="G34" s="54"/>
      <c r="H34" s="54"/>
      <c r="I34" s="54"/>
      <c r="J34" s="55" t="n">
        <v>62601.71</v>
      </c>
      <c r="K34" s="30"/>
      <c r="L34" s="55"/>
      <c r="M34" s="55"/>
      <c r="N34" s="55" t="n">
        <v>1565.04</v>
      </c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18"/>
      <c r="AD34" s="18"/>
    </row>
    <row r="35" s="13" customFormat="true" ht="15" hidden="false" customHeight="false" outlineLevel="0" collapsed="false">
      <c r="A35" s="9" t="s">
        <v>565</v>
      </c>
      <c r="B35" s="9" t="s">
        <v>657</v>
      </c>
      <c r="C35" s="9" t="n">
        <v>83749837449</v>
      </c>
      <c r="D35" s="9" t="n">
        <v>86</v>
      </c>
      <c r="F35" s="11" t="s">
        <v>109</v>
      </c>
      <c r="G35" s="11"/>
      <c r="H35" s="9" t="s">
        <v>33</v>
      </c>
      <c r="J35" s="48" t="n">
        <v>38510.37</v>
      </c>
      <c r="L35" s="9"/>
      <c r="M35" s="9"/>
      <c r="N35" s="9"/>
      <c r="O35" s="9"/>
      <c r="S35" s="9"/>
      <c r="T35" s="9"/>
      <c r="U35" s="9"/>
      <c r="V35" s="9"/>
      <c r="W35" s="48" t="n">
        <v>450.92</v>
      </c>
      <c r="X35" s="48" t="n">
        <v>450.92</v>
      </c>
      <c r="Y35" s="48" t="n">
        <v>450.92</v>
      </c>
      <c r="Z35" s="48" t="n">
        <v>450.92</v>
      </c>
      <c r="AA35" s="48" t="n">
        <v>450.92</v>
      </c>
      <c r="AB35" s="48" t="n">
        <v>450.92</v>
      </c>
      <c r="AC35" s="9"/>
      <c r="AD35" s="9"/>
    </row>
    <row r="36" s="13" customFormat="true" ht="15" hidden="false" customHeight="false" outlineLevel="0" collapsed="false">
      <c r="A36" s="27" t="s">
        <v>600</v>
      </c>
      <c r="B36" s="9" t="s">
        <v>657</v>
      </c>
      <c r="C36" s="47" t="n">
        <v>42362385787</v>
      </c>
      <c r="D36" s="9" t="n">
        <v>2</v>
      </c>
      <c r="F36" s="11" t="s">
        <v>25</v>
      </c>
      <c r="H36" s="9" t="s">
        <v>33</v>
      </c>
      <c r="I36" s="49" t="s">
        <v>34</v>
      </c>
      <c r="J36" s="48" t="n">
        <v>4431.15</v>
      </c>
      <c r="L36" s="9"/>
      <c r="M36" s="9"/>
      <c r="N36" s="9"/>
      <c r="O36" s="9"/>
      <c r="S36" s="9"/>
      <c r="T36" s="9"/>
      <c r="U36" s="9"/>
      <c r="V36" s="9"/>
      <c r="W36" s="9"/>
      <c r="X36" s="9"/>
      <c r="Y36" s="9"/>
      <c r="Z36" s="48" t="n">
        <v>2042.67</v>
      </c>
      <c r="AA36" s="53" t="n">
        <v>2388.48</v>
      </c>
      <c r="AB36" s="9"/>
      <c r="AC36" s="48"/>
      <c r="AD36" s="48"/>
    </row>
    <row r="37" s="13" customFormat="true" ht="15" hidden="false" customHeight="false" outlineLevel="0" collapsed="false">
      <c r="A37" s="27" t="s">
        <v>600</v>
      </c>
      <c r="B37" s="9" t="s">
        <v>657</v>
      </c>
      <c r="C37" s="47" t="n">
        <v>26162180468</v>
      </c>
      <c r="D37" s="9" t="n">
        <v>38</v>
      </c>
      <c r="F37" s="11" t="s">
        <v>109</v>
      </c>
      <c r="H37" s="9" t="s">
        <v>33</v>
      </c>
      <c r="J37" s="48" t="n">
        <v>8243.4</v>
      </c>
      <c r="L37" s="9"/>
      <c r="M37" s="9"/>
      <c r="N37" s="9"/>
      <c r="O37" s="9"/>
      <c r="S37" s="9"/>
      <c r="T37" s="9"/>
      <c r="U37" s="9"/>
      <c r="V37" s="9"/>
      <c r="W37" s="9"/>
      <c r="X37" s="9"/>
      <c r="Y37" s="9"/>
      <c r="Z37" s="9"/>
      <c r="AA37" s="48" t="n">
        <v>221.63</v>
      </c>
      <c r="AB37" s="48" t="n">
        <v>221.63</v>
      </c>
      <c r="AC37" s="52"/>
      <c r="AD37" s="52"/>
    </row>
    <row r="38" s="13" customFormat="true" ht="15" hidden="false" customHeight="false" outlineLevel="0" collapsed="false">
      <c r="A38" s="9" t="s">
        <v>590</v>
      </c>
      <c r="B38" s="9" t="s">
        <v>657</v>
      </c>
      <c r="C38" s="47" t="n">
        <v>10811932478</v>
      </c>
      <c r="D38" s="9" t="n">
        <v>33</v>
      </c>
      <c r="F38" s="15" t="s">
        <v>591</v>
      </c>
      <c r="H38" s="9" t="s">
        <v>33</v>
      </c>
      <c r="J38" s="48" t="n">
        <v>47085.69</v>
      </c>
      <c r="L38" s="9"/>
      <c r="M38" s="9"/>
      <c r="N38" s="9"/>
      <c r="O38" s="9"/>
      <c r="S38" s="9"/>
      <c r="T38" s="9"/>
      <c r="U38" s="9"/>
      <c r="V38" s="9"/>
      <c r="W38" s="9"/>
      <c r="X38" s="9"/>
      <c r="Y38" s="9"/>
      <c r="Z38" s="9"/>
      <c r="AA38" s="9"/>
      <c r="AB38" s="48" t="n">
        <v>1428.96</v>
      </c>
      <c r="AC38" s="48"/>
      <c r="AD38" s="48"/>
    </row>
    <row r="39" s="13" customFormat="true" ht="15" hidden="false" customHeight="false" outlineLevel="0" collapsed="false">
      <c r="A39" s="9" t="s">
        <v>587</v>
      </c>
      <c r="B39" s="9" t="s">
        <v>657</v>
      </c>
      <c r="C39" s="47" t="n">
        <v>46554408487</v>
      </c>
      <c r="D39" s="9" t="n">
        <v>26</v>
      </c>
      <c r="F39" s="13" t="s">
        <v>588</v>
      </c>
      <c r="H39" s="9" t="s">
        <v>33</v>
      </c>
      <c r="J39" s="48" t="n">
        <v>16624.87</v>
      </c>
      <c r="L39" s="9"/>
      <c r="M39" s="9"/>
      <c r="N39" s="9"/>
      <c r="O39" s="9"/>
      <c r="S39" s="9"/>
      <c r="T39" s="9"/>
      <c r="U39" s="9"/>
      <c r="V39" s="9"/>
      <c r="W39" s="9"/>
      <c r="X39" s="9"/>
      <c r="Y39" s="48" t="n">
        <v>515.61</v>
      </c>
      <c r="Z39" s="48" t="n">
        <v>644.37</v>
      </c>
      <c r="AA39" s="48" t="n">
        <v>644.37</v>
      </c>
      <c r="AB39" s="48" t="n">
        <v>644.37</v>
      </c>
      <c r="AC39" s="9"/>
      <c r="AD39" s="9"/>
    </row>
    <row r="40" s="13" customFormat="true" ht="15" hidden="false" customHeight="false" outlineLevel="0" collapsed="false">
      <c r="A40" s="9" t="s">
        <v>598</v>
      </c>
      <c r="B40" s="9" t="s">
        <v>657</v>
      </c>
      <c r="C40" s="47" t="n">
        <v>15706141487</v>
      </c>
      <c r="D40" s="9" t="n">
        <v>9</v>
      </c>
      <c r="F40" s="11" t="s">
        <v>279</v>
      </c>
      <c r="H40" s="9" t="s">
        <v>33</v>
      </c>
      <c r="J40" s="48" t="n">
        <v>11308.99</v>
      </c>
      <c r="L40" s="9"/>
      <c r="M40" s="9"/>
      <c r="N40" s="9"/>
      <c r="O40" s="9"/>
      <c r="S40" s="9"/>
      <c r="T40" s="9"/>
      <c r="U40" s="9"/>
      <c r="V40" s="9"/>
      <c r="W40" s="9"/>
      <c r="X40" s="9"/>
      <c r="Y40" s="9"/>
      <c r="Z40" s="48" t="n">
        <v>1316.88</v>
      </c>
      <c r="AA40" s="48" t="n">
        <v>1316.88</v>
      </c>
      <c r="AB40" s="48" t="n">
        <v>1316.88</v>
      </c>
      <c r="AC40" s="52"/>
      <c r="AD40" s="52"/>
    </row>
    <row r="41" s="13" customFormat="true" ht="15" hidden="false" customHeight="false" outlineLevel="0" collapsed="false">
      <c r="A41" s="19" t="s">
        <v>249</v>
      </c>
      <c r="B41" s="19" t="s">
        <v>657</v>
      </c>
      <c r="C41" s="56" t="n">
        <v>834517493</v>
      </c>
      <c r="D41" s="19"/>
      <c r="E41" s="24"/>
      <c r="F41" s="24"/>
      <c r="G41" s="24"/>
      <c r="H41" s="19" t="s">
        <v>33</v>
      </c>
      <c r="I41" s="24"/>
      <c r="J41" s="57" t="n">
        <v>84443.57</v>
      </c>
      <c r="K41" s="19"/>
      <c r="L41" s="57"/>
      <c r="M41" s="57" t="n">
        <v>1184.54</v>
      </c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2"/>
      <c r="AD41" s="52"/>
    </row>
    <row r="42" s="13" customFormat="true" ht="15" hidden="false" customHeight="false" outlineLevel="0" collapsed="false">
      <c r="A42" s="9" t="s">
        <v>585</v>
      </c>
      <c r="B42" s="9" t="s">
        <v>657</v>
      </c>
      <c r="C42" s="47" t="n">
        <v>32403143472</v>
      </c>
      <c r="D42" s="9" t="n">
        <v>6</v>
      </c>
      <c r="F42" s="11" t="s">
        <v>126</v>
      </c>
      <c r="H42" s="9" t="s">
        <v>33</v>
      </c>
      <c r="J42" s="48" t="n">
        <v>1195.27</v>
      </c>
      <c r="L42" s="9"/>
      <c r="M42" s="9"/>
      <c r="N42" s="9"/>
      <c r="O42" s="9"/>
      <c r="S42" s="9"/>
      <c r="T42" s="9"/>
      <c r="U42" s="9"/>
      <c r="V42" s="9"/>
      <c r="W42" s="9"/>
      <c r="X42" s="9"/>
      <c r="Y42" s="9"/>
      <c r="Z42" s="48" t="n">
        <v>227.81</v>
      </c>
      <c r="AA42" s="48" t="n">
        <v>227.81</v>
      </c>
      <c r="AB42" s="48" t="n">
        <v>227.81</v>
      </c>
      <c r="AC42" s="52"/>
      <c r="AD42" s="52"/>
    </row>
    <row r="43" s="13" customFormat="true" ht="15" hidden="false" customHeight="false" outlineLevel="0" collapsed="false">
      <c r="A43" s="9" t="s">
        <v>581</v>
      </c>
      <c r="B43" s="9" t="s">
        <v>657</v>
      </c>
      <c r="C43" s="47" t="n">
        <v>19951698468</v>
      </c>
      <c r="D43" s="9" t="n">
        <v>4</v>
      </c>
      <c r="F43" s="11" t="s">
        <v>25</v>
      </c>
      <c r="H43" s="9" t="s">
        <v>33</v>
      </c>
      <c r="J43" s="48" t="n">
        <v>6480.51</v>
      </c>
      <c r="L43" s="9"/>
      <c r="M43" s="9"/>
      <c r="N43" s="9"/>
      <c r="O43" s="9"/>
      <c r="S43" s="9"/>
      <c r="T43" s="9"/>
      <c r="U43" s="9"/>
      <c r="V43" s="9"/>
      <c r="W43" s="9"/>
      <c r="X43" s="9"/>
      <c r="Y43" s="9"/>
      <c r="Z43" s="48" t="n">
        <v>1800</v>
      </c>
      <c r="AA43" s="48" t="n">
        <v>1800</v>
      </c>
      <c r="AB43" s="48" t="n">
        <v>1800</v>
      </c>
      <c r="AC43" s="48"/>
      <c r="AD43" s="48"/>
    </row>
    <row r="44" s="13" customFormat="true" ht="15" hidden="false" customHeight="false" outlineLevel="0" collapsed="false">
      <c r="A44" s="27" t="s">
        <v>205</v>
      </c>
      <c r="B44" s="9" t="s">
        <v>662</v>
      </c>
      <c r="C44" s="47" t="n">
        <v>10827366434</v>
      </c>
      <c r="D44" s="9" t="n">
        <v>1</v>
      </c>
      <c r="F44" s="11" t="s">
        <v>109</v>
      </c>
      <c r="I44" s="49" t="s">
        <v>34</v>
      </c>
      <c r="J44" s="48" t="n">
        <v>890.58</v>
      </c>
      <c r="K44" s="9" t="s">
        <v>34</v>
      </c>
      <c r="L44" s="53" t="n">
        <v>890.58</v>
      </c>
      <c r="M44" s="9"/>
      <c r="N44" s="9"/>
      <c r="O44" s="9"/>
      <c r="S44" s="9"/>
      <c r="T44" s="9"/>
      <c r="U44" s="9"/>
      <c r="V44" s="48"/>
      <c r="W44" s="48"/>
      <c r="X44" s="9"/>
      <c r="Y44" s="9"/>
      <c r="Z44" s="9"/>
      <c r="AA44" s="9"/>
      <c r="AB44" s="9"/>
      <c r="AC44" s="9"/>
      <c r="AD44" s="9"/>
    </row>
    <row r="45" s="13" customFormat="true" ht="15" hidden="false" customHeight="false" outlineLevel="0" collapsed="false">
      <c r="A45" s="9" t="s">
        <v>170</v>
      </c>
      <c r="B45" s="9" t="s">
        <v>657</v>
      </c>
      <c r="C45" s="9" t="n">
        <v>22136967487</v>
      </c>
      <c r="D45" s="9" t="n">
        <v>16</v>
      </c>
      <c r="F45" s="11" t="s">
        <v>25</v>
      </c>
      <c r="G45" s="11"/>
      <c r="H45" s="9" t="s">
        <v>33</v>
      </c>
      <c r="J45" s="48" t="n">
        <v>19455.48</v>
      </c>
      <c r="K45" s="9"/>
      <c r="L45" s="48"/>
      <c r="M45" s="48" t="n">
        <v>1295.64</v>
      </c>
      <c r="N45" s="48" t="n">
        <v>1295.64</v>
      </c>
      <c r="O45" s="48"/>
      <c r="P45" s="48"/>
      <c r="Q45" s="48"/>
      <c r="R45" s="48"/>
      <c r="S45" s="48"/>
      <c r="T45" s="48"/>
      <c r="U45" s="48" t="n">
        <v>1295.64</v>
      </c>
      <c r="V45" s="48" t="n">
        <v>1295.64</v>
      </c>
      <c r="W45" s="48" t="n">
        <v>1295.64</v>
      </c>
      <c r="X45" s="48" t="n">
        <v>1295.64</v>
      </c>
      <c r="Y45" s="48" t="n">
        <v>1295.64</v>
      </c>
      <c r="Z45" s="48" t="n">
        <v>1295.64</v>
      </c>
      <c r="AA45" s="48" t="n">
        <v>1295.64</v>
      </c>
      <c r="AB45" s="48" t="n">
        <v>1295.64</v>
      </c>
      <c r="AC45" s="48"/>
      <c r="AD45" s="48"/>
    </row>
    <row r="46" s="13" customFormat="true" ht="15" hidden="false" customHeight="false" outlineLevel="0" collapsed="false">
      <c r="A46" s="9" t="s">
        <v>559</v>
      </c>
      <c r="B46" s="9" t="s">
        <v>657</v>
      </c>
      <c r="C46" s="47" t="n">
        <v>3746829410</v>
      </c>
      <c r="D46" s="9" t="n">
        <v>25</v>
      </c>
      <c r="F46" s="11" t="s">
        <v>25</v>
      </c>
      <c r="G46" s="11"/>
      <c r="H46" s="9" t="s">
        <v>33</v>
      </c>
      <c r="J46" s="18" t="n">
        <v>11878.06</v>
      </c>
      <c r="L46" s="9"/>
      <c r="M46" s="18" t="n">
        <v>493.39</v>
      </c>
      <c r="N46" s="18" t="n">
        <v>493.39</v>
      </c>
      <c r="O46" s="18" t="n">
        <v>493.39</v>
      </c>
      <c r="P46" s="18" t="n">
        <v>493.39</v>
      </c>
      <c r="Q46" s="18" t="n">
        <v>493.39</v>
      </c>
      <c r="R46" s="18" t="n">
        <v>493.39</v>
      </c>
      <c r="S46" s="18" t="n">
        <v>495.43</v>
      </c>
      <c r="T46" s="18" t="n">
        <v>495.43</v>
      </c>
      <c r="U46" s="18" t="n">
        <v>495.43</v>
      </c>
      <c r="V46" s="18" t="n">
        <v>495.43</v>
      </c>
      <c r="W46" s="18" t="n">
        <v>495.43</v>
      </c>
      <c r="X46" s="18" t="n">
        <v>495.43</v>
      </c>
      <c r="Y46" s="18" t="n">
        <v>495.43</v>
      </c>
      <c r="Z46" s="18" t="n">
        <v>495.43</v>
      </c>
      <c r="AA46" s="18" t="n">
        <v>495.43</v>
      </c>
      <c r="AB46" s="18" t="n">
        <v>495.43</v>
      </c>
      <c r="AC46" s="48"/>
      <c r="AD46" s="48"/>
    </row>
    <row r="47" s="13" customFormat="true" ht="15" hidden="false" customHeight="false" outlineLevel="0" collapsed="false">
      <c r="A47" s="9" t="s">
        <v>460</v>
      </c>
      <c r="B47" s="9" t="s">
        <v>658</v>
      </c>
      <c r="C47" s="47" t="n">
        <v>5864114456</v>
      </c>
      <c r="D47" s="9" t="n">
        <v>3</v>
      </c>
      <c r="F47" s="58" t="s">
        <v>679</v>
      </c>
      <c r="I47" s="49" t="s">
        <v>34</v>
      </c>
      <c r="J47" s="48" t="n">
        <v>6646.17</v>
      </c>
      <c r="K47" s="9" t="s">
        <v>34</v>
      </c>
      <c r="L47" s="9"/>
      <c r="M47" s="9"/>
      <c r="N47" s="18" t="n">
        <v>2215.39</v>
      </c>
      <c r="O47" s="18" t="n">
        <v>2215.39</v>
      </c>
      <c r="P47" s="50" t="n">
        <v>2215.39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="13" customFormat="true" ht="15" hidden="false" customHeight="false" outlineLevel="0" collapsed="false">
      <c r="A48" s="9" t="s">
        <v>423</v>
      </c>
      <c r="B48" s="9" t="s">
        <v>657</v>
      </c>
      <c r="C48" s="9" t="n">
        <v>66429420434</v>
      </c>
      <c r="D48" s="9" t="n">
        <v>19</v>
      </c>
      <c r="F48" s="15" t="s">
        <v>424</v>
      </c>
      <c r="G48" s="15"/>
      <c r="H48" s="9" t="s">
        <v>33</v>
      </c>
      <c r="J48" s="48" t="n">
        <v>5754.87</v>
      </c>
      <c r="K48" s="9"/>
      <c r="L48" s="52"/>
      <c r="M48" s="52"/>
      <c r="N48" s="52" t="n">
        <v>302.88</v>
      </c>
      <c r="O48" s="52" t="n">
        <v>302.88</v>
      </c>
      <c r="P48" s="52" t="n">
        <v>302.88</v>
      </c>
      <c r="Q48" s="52" t="n">
        <v>302.88</v>
      </c>
      <c r="R48" s="52" t="n">
        <v>302.88</v>
      </c>
      <c r="S48" s="52" t="n">
        <v>302.88</v>
      </c>
      <c r="T48" s="52" t="n">
        <v>302.88</v>
      </c>
      <c r="U48" s="52" t="n">
        <v>302.88</v>
      </c>
      <c r="V48" s="52" t="n">
        <v>302.88</v>
      </c>
      <c r="W48" s="52" t="n">
        <v>302.88</v>
      </c>
      <c r="X48" s="52" t="n">
        <v>302.88</v>
      </c>
      <c r="Y48" s="52" t="n">
        <v>302.88</v>
      </c>
      <c r="Z48" s="52" t="n">
        <v>302.88</v>
      </c>
      <c r="AA48" s="52" t="n">
        <v>302.88</v>
      </c>
      <c r="AB48" s="52" t="n">
        <v>302.88</v>
      </c>
      <c r="AC48" s="9"/>
      <c r="AD48" s="9"/>
    </row>
    <row r="49" s="13" customFormat="true" ht="15" hidden="false" customHeight="false" outlineLevel="0" collapsed="false">
      <c r="A49" s="9" t="s">
        <v>429</v>
      </c>
      <c r="B49" s="9" t="s">
        <v>657</v>
      </c>
      <c r="C49" s="47" t="n">
        <v>7409141468</v>
      </c>
      <c r="D49" s="9" t="n">
        <v>49</v>
      </c>
      <c r="F49" s="11" t="s">
        <v>126</v>
      </c>
      <c r="G49" s="11"/>
      <c r="H49" s="9" t="s">
        <v>33</v>
      </c>
      <c r="J49" s="48" t="n">
        <v>10985.36</v>
      </c>
      <c r="L49" s="9"/>
      <c r="M49" s="9"/>
      <c r="N49" s="9"/>
      <c r="O49" s="9"/>
      <c r="S49" s="48" t="n">
        <v>227.66</v>
      </c>
      <c r="T49" s="48" t="n">
        <v>227.66</v>
      </c>
      <c r="U49" s="48" t="n">
        <v>227.66</v>
      </c>
      <c r="V49" s="48" t="n">
        <v>227.66</v>
      </c>
      <c r="W49" s="48" t="n">
        <v>227.66</v>
      </c>
      <c r="X49" s="48" t="n">
        <v>227.66</v>
      </c>
      <c r="Y49" s="48" t="n">
        <v>227.66</v>
      </c>
      <c r="Z49" s="48" t="n">
        <v>227.66</v>
      </c>
      <c r="AA49" s="48" t="n">
        <v>227.66</v>
      </c>
      <c r="AB49" s="48" t="n">
        <v>227.66</v>
      </c>
    </row>
    <row r="50" s="13" customFormat="true" ht="15" hidden="false" customHeight="false" outlineLevel="0" collapsed="false">
      <c r="A50" s="9" t="s">
        <v>298</v>
      </c>
      <c r="B50" s="9" t="s">
        <v>658</v>
      </c>
      <c r="C50" s="47" t="n">
        <v>8548536420</v>
      </c>
      <c r="D50" s="9" t="n">
        <v>12</v>
      </c>
      <c r="F50" s="11" t="s">
        <v>25</v>
      </c>
      <c r="G50" s="11"/>
      <c r="H50" s="9" t="s">
        <v>33</v>
      </c>
      <c r="I50" s="49" t="s">
        <v>34</v>
      </c>
      <c r="J50" s="48" t="n">
        <v>2965.32</v>
      </c>
      <c r="K50" s="9"/>
      <c r="L50" s="48"/>
      <c r="M50" s="48" t="n">
        <v>266.35</v>
      </c>
      <c r="N50" s="48" t="n">
        <v>266.35</v>
      </c>
      <c r="O50" s="48" t="n">
        <v>266.35</v>
      </c>
      <c r="P50" s="48" t="n">
        <v>266.35</v>
      </c>
      <c r="Q50" s="48" t="n">
        <v>266.35</v>
      </c>
      <c r="R50" s="48" t="n">
        <v>266.35</v>
      </c>
      <c r="S50" s="48" t="n">
        <v>266.35</v>
      </c>
      <c r="T50" s="48" t="n">
        <v>266.35</v>
      </c>
      <c r="U50" s="48" t="n">
        <v>266.35</v>
      </c>
      <c r="V50" s="48" t="n">
        <v>266.35</v>
      </c>
      <c r="W50" s="48" t="n">
        <v>266.35</v>
      </c>
      <c r="X50" s="53" t="n">
        <v>35.47</v>
      </c>
      <c r="Y50" s="48"/>
      <c r="Z50" s="48"/>
      <c r="AA50" s="48"/>
      <c r="AB50" s="48"/>
      <c r="AC50" s="48"/>
      <c r="AD50" s="48"/>
    </row>
    <row r="51" s="13" customFormat="true" ht="15" hidden="false" customHeight="false" outlineLevel="0" collapsed="false">
      <c r="A51" s="19" t="s">
        <v>383</v>
      </c>
      <c r="B51" s="19" t="s">
        <v>680</v>
      </c>
      <c r="C51" s="56" t="n">
        <v>3404756410</v>
      </c>
      <c r="D51" s="19"/>
      <c r="E51" s="24"/>
      <c r="F51" s="24"/>
      <c r="G51" s="24"/>
      <c r="H51" s="24"/>
      <c r="I51" s="24"/>
      <c r="J51" s="57" t="n">
        <v>39751.08</v>
      </c>
      <c r="K51" s="19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48"/>
      <c r="AD51" s="48"/>
    </row>
    <row r="52" s="13" customFormat="true" ht="15" hidden="false" customHeight="false" outlineLevel="0" collapsed="false">
      <c r="A52" s="27" t="s">
        <v>309</v>
      </c>
      <c r="B52" s="9" t="s">
        <v>681</v>
      </c>
      <c r="C52" s="47" t="n">
        <v>42360463420</v>
      </c>
      <c r="D52" s="9" t="n">
        <v>15</v>
      </c>
      <c r="E52" s="13" t="s">
        <v>682</v>
      </c>
      <c r="F52" s="9" t="s">
        <v>683</v>
      </c>
      <c r="G52" s="9"/>
      <c r="H52" s="9" t="s">
        <v>33</v>
      </c>
      <c r="J52" s="18" t="n">
        <v>6059.37</v>
      </c>
      <c r="L52" s="9"/>
      <c r="M52" s="9"/>
      <c r="N52" s="9"/>
      <c r="O52" s="18" t="n">
        <v>403.95</v>
      </c>
      <c r="P52" s="18" t="n">
        <v>403.95</v>
      </c>
      <c r="Q52" s="18" t="n">
        <v>403.95</v>
      </c>
      <c r="R52" s="18" t="n">
        <v>403.95</v>
      </c>
      <c r="S52" s="18" t="n">
        <v>403.95</v>
      </c>
      <c r="T52" s="18" t="n">
        <v>403.95</v>
      </c>
      <c r="U52" s="18" t="n">
        <v>403.95</v>
      </c>
      <c r="V52" s="18" t="n">
        <v>403.95</v>
      </c>
      <c r="W52" s="18" t="n">
        <v>403.95</v>
      </c>
      <c r="X52" s="18" t="n">
        <v>403.95</v>
      </c>
      <c r="Y52" s="18" t="n">
        <v>403.95</v>
      </c>
      <c r="Z52" s="18" t="n">
        <v>403.95</v>
      </c>
      <c r="AA52" s="18" t="n">
        <v>403.95</v>
      </c>
      <c r="AB52" s="18" t="n">
        <v>403.95</v>
      </c>
      <c r="AC52" s="48"/>
      <c r="AD52" s="48"/>
    </row>
    <row r="53" s="13" customFormat="true" ht="15" hidden="false" customHeight="false" outlineLevel="0" collapsed="false">
      <c r="A53" s="9" t="s">
        <v>497</v>
      </c>
      <c r="B53" s="9" t="s">
        <v>684</v>
      </c>
      <c r="C53" s="47" t="n">
        <v>42360463420</v>
      </c>
      <c r="D53" s="9" t="n">
        <v>5</v>
      </c>
      <c r="F53" s="9" t="s">
        <v>279</v>
      </c>
      <c r="G53" s="9"/>
      <c r="I53" s="49" t="s">
        <v>34</v>
      </c>
      <c r="J53" s="18" t="n">
        <v>3255.56</v>
      </c>
      <c r="L53" s="9"/>
      <c r="M53" s="9"/>
      <c r="N53" s="18" t="n">
        <v>651.12</v>
      </c>
      <c r="O53" s="18" t="n">
        <v>651.12</v>
      </c>
      <c r="P53" s="18" t="n">
        <v>651.12</v>
      </c>
      <c r="Q53" s="18" t="n">
        <v>651.12</v>
      </c>
      <c r="R53" s="53" t="n">
        <v>651.12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48"/>
      <c r="AD53" s="48"/>
    </row>
    <row r="54" s="13" customFormat="true" ht="15" hidden="false" customHeight="false" outlineLevel="0" collapsed="false">
      <c r="A54" s="9" t="s">
        <v>453</v>
      </c>
      <c r="B54" s="9" t="s">
        <v>657</v>
      </c>
      <c r="C54" s="9" t="n">
        <v>27170390400</v>
      </c>
      <c r="D54" s="9" t="n">
        <v>4</v>
      </c>
      <c r="F54" s="11" t="s">
        <v>454</v>
      </c>
      <c r="G54" s="11"/>
      <c r="H54" s="9" t="s">
        <v>33</v>
      </c>
      <c r="I54" s="49" t="s">
        <v>34</v>
      </c>
      <c r="J54" s="48" t="n">
        <v>5634.33</v>
      </c>
      <c r="K54" s="9"/>
      <c r="L54" s="48"/>
      <c r="M54" s="48" t="n">
        <v>1837.3</v>
      </c>
      <c r="N54" s="48" t="n">
        <v>1837.3</v>
      </c>
      <c r="O54" s="48" t="n">
        <v>1837.3</v>
      </c>
      <c r="P54" s="53" t="n">
        <v>122.43</v>
      </c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="13" customFormat="true" ht="15" hidden="false" customHeight="false" outlineLevel="0" collapsed="false">
      <c r="A55" s="9" t="s">
        <v>32</v>
      </c>
      <c r="B55" s="9" t="s">
        <v>657</v>
      </c>
      <c r="C55" s="47" t="n">
        <v>7227091457</v>
      </c>
      <c r="D55" s="9" t="n">
        <v>35</v>
      </c>
      <c r="F55" s="15" t="s">
        <v>685</v>
      </c>
      <c r="H55" s="9" t="s">
        <v>33</v>
      </c>
      <c r="J55" s="48" t="n">
        <v>9715.46</v>
      </c>
      <c r="L55" s="9"/>
      <c r="M55" s="9"/>
      <c r="N55" s="9"/>
      <c r="O55" s="9"/>
      <c r="S55" s="9"/>
      <c r="T55" s="9"/>
      <c r="U55" s="9"/>
      <c r="V55" s="9"/>
      <c r="W55" s="9"/>
      <c r="X55" s="9"/>
      <c r="Y55" s="9"/>
      <c r="Z55" s="48" t="n">
        <v>277.58</v>
      </c>
      <c r="AA55" s="48" t="n">
        <v>277.58</v>
      </c>
      <c r="AB55" s="48" t="n">
        <v>277.58</v>
      </c>
      <c r="AC55" s="9"/>
      <c r="AD55" s="9"/>
    </row>
    <row r="56" s="13" customFormat="true" ht="15" hidden="false" customHeight="false" outlineLevel="0" collapsed="false">
      <c r="A56" s="9" t="s">
        <v>53</v>
      </c>
      <c r="B56" s="9" t="s">
        <v>658</v>
      </c>
      <c r="C56" s="9" t="n">
        <v>15055825472</v>
      </c>
      <c r="D56" s="9" t="n">
        <v>1</v>
      </c>
      <c r="F56" s="58" t="s">
        <v>686</v>
      </c>
      <c r="I56" s="49" t="s">
        <v>34</v>
      </c>
      <c r="J56" s="48" t="n">
        <v>6592.99</v>
      </c>
      <c r="K56" s="9" t="s">
        <v>34</v>
      </c>
      <c r="L56" s="52"/>
      <c r="M56" s="52"/>
      <c r="N56" s="52"/>
      <c r="O56" s="52"/>
      <c r="P56" s="18"/>
      <c r="Q56" s="18"/>
      <c r="R56" s="53" t="n">
        <v>6592.99</v>
      </c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9"/>
      <c r="AD56" s="9"/>
    </row>
    <row r="57" s="13" customFormat="true" ht="15" hidden="false" customHeight="false" outlineLevel="0" collapsed="false">
      <c r="A57" s="9" t="s">
        <v>404</v>
      </c>
      <c r="B57" s="9" t="s">
        <v>657</v>
      </c>
      <c r="C57" s="9" t="n">
        <v>81357427468</v>
      </c>
      <c r="D57" s="9" t="n">
        <v>15</v>
      </c>
      <c r="F57" s="11" t="s">
        <v>126</v>
      </c>
      <c r="G57" s="11"/>
      <c r="H57" s="9" t="s">
        <v>33</v>
      </c>
      <c r="I57" s="49" t="s">
        <v>34</v>
      </c>
      <c r="J57" s="48" t="n">
        <v>8420.67</v>
      </c>
      <c r="K57" s="9"/>
      <c r="L57" s="48"/>
      <c r="M57" s="48" t="n">
        <v>561.38</v>
      </c>
      <c r="N57" s="48" t="n">
        <v>561.38</v>
      </c>
      <c r="O57" s="48" t="n">
        <v>561.38</v>
      </c>
      <c r="P57" s="48" t="n">
        <v>561.38</v>
      </c>
      <c r="Q57" s="48" t="n">
        <v>561.38</v>
      </c>
      <c r="R57" s="48" t="n">
        <v>561.38</v>
      </c>
      <c r="S57" s="48" t="n">
        <v>561.38</v>
      </c>
      <c r="T57" s="48" t="n">
        <v>561.38</v>
      </c>
      <c r="U57" s="48" t="n">
        <v>561.38</v>
      </c>
      <c r="V57" s="48" t="n">
        <v>561.38</v>
      </c>
      <c r="W57" s="48" t="n">
        <v>561.38</v>
      </c>
      <c r="X57" s="48" t="n">
        <v>561.38</v>
      </c>
      <c r="Y57" s="48" t="n">
        <v>561.38</v>
      </c>
      <c r="Z57" s="48" t="n">
        <v>561.38</v>
      </c>
      <c r="AA57" s="53" t="n">
        <v>561.38</v>
      </c>
      <c r="AB57" s="48"/>
      <c r="AC57" s="9"/>
      <c r="AD57" s="9"/>
    </row>
    <row r="58" s="13" customFormat="true" ht="15" hidden="false" customHeight="false" outlineLevel="0" collapsed="false">
      <c r="A58" s="9" t="s">
        <v>310</v>
      </c>
      <c r="B58" s="9" t="s">
        <v>658</v>
      </c>
      <c r="C58" s="47" t="n">
        <v>13098608404</v>
      </c>
      <c r="D58" s="9" t="n">
        <v>2</v>
      </c>
      <c r="F58" s="51" t="s">
        <v>687</v>
      </c>
      <c r="I58" s="49" t="s">
        <v>34</v>
      </c>
      <c r="J58" s="48" t="n">
        <v>3032.75</v>
      </c>
      <c r="K58" s="9" t="s">
        <v>34</v>
      </c>
      <c r="L58" s="9"/>
      <c r="M58" s="9"/>
      <c r="N58" s="9"/>
      <c r="O58" s="9"/>
      <c r="Q58" s="18" t="n">
        <v>2682.84</v>
      </c>
      <c r="R58" s="53" t="n">
        <v>349.91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="13" customFormat="true" ht="15" hidden="false" customHeight="false" outlineLevel="0" collapsed="false">
      <c r="A59" s="9" t="s">
        <v>411</v>
      </c>
      <c r="B59" s="9" t="s">
        <v>688</v>
      </c>
      <c r="C59" s="9" t="n">
        <v>22525904400</v>
      </c>
      <c r="D59" s="9" t="n">
        <v>3</v>
      </c>
      <c r="F59" s="9" t="s">
        <v>412</v>
      </c>
      <c r="I59" s="49" t="s">
        <v>34</v>
      </c>
      <c r="J59" s="48" t="n">
        <v>11076.79</v>
      </c>
      <c r="K59" s="9" t="s">
        <v>34</v>
      </c>
      <c r="L59" s="52"/>
      <c r="M59" s="52"/>
      <c r="N59" s="52"/>
      <c r="O59" s="52"/>
      <c r="P59" s="18"/>
      <c r="Q59" s="18"/>
      <c r="R59" s="18" t="n">
        <v>4481.69</v>
      </c>
      <c r="S59" s="18" t="n">
        <v>4481.69</v>
      </c>
      <c r="T59" s="50" t="n">
        <v>2113.41</v>
      </c>
      <c r="U59" s="52"/>
      <c r="V59" s="52"/>
      <c r="W59" s="52"/>
      <c r="X59" s="52"/>
      <c r="Y59" s="52"/>
      <c r="Z59" s="52"/>
      <c r="AA59" s="52"/>
      <c r="AB59" s="52"/>
      <c r="AC59" s="9"/>
      <c r="AD59" s="9"/>
    </row>
    <row r="60" s="13" customFormat="true" ht="15" hidden="false" customHeight="false" outlineLevel="0" collapsed="false">
      <c r="A60" s="19" t="s">
        <v>448</v>
      </c>
      <c r="B60" s="19" t="s">
        <v>657</v>
      </c>
      <c r="C60" s="19" t="n">
        <v>19989407487</v>
      </c>
      <c r="D60" s="19" t="n">
        <v>77</v>
      </c>
      <c r="E60" s="24"/>
      <c r="F60" s="24"/>
      <c r="G60" s="24"/>
      <c r="H60" s="24"/>
      <c r="I60" s="24"/>
      <c r="J60" s="57" t="n">
        <v>68739.16</v>
      </c>
      <c r="K60" s="19"/>
      <c r="L60" s="59"/>
      <c r="M60" s="59"/>
      <c r="N60" s="59"/>
      <c r="O60" s="59" t="n">
        <v>904.11</v>
      </c>
      <c r="P60" s="59" t="n">
        <v>904.11</v>
      </c>
      <c r="Q60" s="59" t="n">
        <v>904.11</v>
      </c>
      <c r="R60" s="59" t="n">
        <v>904.11</v>
      </c>
      <c r="S60" s="59" t="n">
        <v>904.11</v>
      </c>
      <c r="T60" s="59" t="n">
        <v>904.11</v>
      </c>
      <c r="U60" s="59" t="n">
        <v>904.11</v>
      </c>
      <c r="V60" s="59" t="n">
        <v>904.11</v>
      </c>
      <c r="W60" s="59"/>
      <c r="X60" s="59"/>
      <c r="Y60" s="59"/>
      <c r="Z60" s="59"/>
      <c r="AA60" s="59"/>
      <c r="AB60" s="59"/>
      <c r="AC60" s="48"/>
      <c r="AD60" s="48"/>
    </row>
    <row r="61" s="13" customFormat="true" ht="15" hidden="false" customHeight="false" outlineLevel="0" collapsed="false">
      <c r="A61" s="9" t="s">
        <v>149</v>
      </c>
      <c r="B61" s="9" t="s">
        <v>657</v>
      </c>
      <c r="C61" s="47" t="n">
        <v>17011612491</v>
      </c>
      <c r="D61" s="9" t="n">
        <v>15</v>
      </c>
      <c r="F61" s="13" t="s">
        <v>150</v>
      </c>
      <c r="H61" s="9" t="s">
        <v>33</v>
      </c>
      <c r="J61" s="48" t="n">
        <v>1660.69</v>
      </c>
      <c r="L61" s="9"/>
      <c r="M61" s="9"/>
      <c r="N61" s="9"/>
      <c r="O61" s="9"/>
      <c r="S61" s="9"/>
      <c r="T61" s="9"/>
      <c r="U61" s="9"/>
      <c r="V61" s="9"/>
      <c r="W61" s="9"/>
      <c r="X61" s="9"/>
      <c r="Y61" s="9"/>
      <c r="Z61" s="48" t="n">
        <v>110.71</v>
      </c>
      <c r="AA61" s="48" t="n">
        <v>110.71</v>
      </c>
      <c r="AB61" s="48" t="n">
        <v>110.71</v>
      </c>
      <c r="AC61" s="9"/>
      <c r="AD61" s="9"/>
    </row>
    <row r="62" s="13" customFormat="true" ht="15" hidden="false" customHeight="false" outlineLevel="0" collapsed="false">
      <c r="A62" s="9" t="s">
        <v>438</v>
      </c>
      <c r="B62" s="9" t="s">
        <v>657</v>
      </c>
      <c r="C62" s="47" t="n">
        <v>6714080468</v>
      </c>
      <c r="D62" s="9" t="n">
        <v>1</v>
      </c>
      <c r="F62" s="11" t="s">
        <v>126</v>
      </c>
      <c r="G62" s="11"/>
      <c r="H62" s="9" t="s">
        <v>33</v>
      </c>
      <c r="I62" s="49" t="s">
        <v>34</v>
      </c>
      <c r="J62" s="48" t="n">
        <v>2322.45</v>
      </c>
      <c r="K62" s="9" t="s">
        <v>689</v>
      </c>
      <c r="L62" s="52"/>
      <c r="M62" s="52"/>
      <c r="N62" s="52"/>
      <c r="O62" s="52"/>
      <c r="P62" s="50" t="n">
        <v>2322.45</v>
      </c>
      <c r="Q62" s="18"/>
      <c r="R62" s="18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9"/>
      <c r="AD62" s="9"/>
    </row>
    <row r="63" s="13" customFormat="true" ht="15" hidden="false" customHeight="false" outlineLevel="0" collapsed="false">
      <c r="A63" s="9" t="s">
        <v>593</v>
      </c>
      <c r="B63" s="9" t="s">
        <v>657</v>
      </c>
      <c r="C63" s="47" t="n">
        <v>3470464448</v>
      </c>
      <c r="D63" s="9" t="n">
        <v>4</v>
      </c>
      <c r="F63" s="13" t="s">
        <v>39</v>
      </c>
      <c r="H63" s="9" t="s">
        <v>33</v>
      </c>
      <c r="J63" s="48" t="n">
        <v>5252.85</v>
      </c>
      <c r="L63" s="9"/>
      <c r="M63" s="9"/>
      <c r="N63" s="9"/>
      <c r="O63" s="9"/>
      <c r="S63" s="9"/>
      <c r="T63" s="9"/>
      <c r="U63" s="9"/>
      <c r="V63" s="9"/>
      <c r="W63" s="9"/>
      <c r="X63" s="9"/>
      <c r="Y63" s="9"/>
      <c r="Z63" s="9"/>
      <c r="AA63" s="48" t="n">
        <v>1313.21</v>
      </c>
      <c r="AB63" s="48" t="n">
        <v>1313.21</v>
      </c>
      <c r="AC63" s="9"/>
      <c r="AD63" s="9"/>
    </row>
    <row r="64" s="13" customFormat="true" ht="15" hidden="false" customHeight="false" outlineLevel="0" collapsed="false">
      <c r="A64" s="9" t="s">
        <v>626</v>
      </c>
      <c r="B64" s="9" t="s">
        <v>657</v>
      </c>
      <c r="C64" s="47" t="n">
        <v>3005887391</v>
      </c>
      <c r="D64" s="9" t="n">
        <v>36</v>
      </c>
      <c r="F64" s="15" t="s">
        <v>627</v>
      </c>
      <c r="H64" s="9" t="s">
        <v>33</v>
      </c>
      <c r="J64" s="48" t="n">
        <v>48084.69</v>
      </c>
      <c r="L64" s="9"/>
      <c r="M64" s="9"/>
      <c r="N64" s="9"/>
      <c r="O64" s="9"/>
      <c r="S64" s="9"/>
      <c r="T64" s="9"/>
      <c r="U64" s="9"/>
      <c r="V64" s="9"/>
      <c r="W64" s="9"/>
      <c r="X64" s="9"/>
      <c r="Y64" s="9"/>
      <c r="Z64" s="9"/>
      <c r="AA64" s="9"/>
      <c r="AB64" s="48" t="n">
        <v>1335.89</v>
      </c>
      <c r="AC64" s="9"/>
      <c r="AD64" s="9"/>
    </row>
    <row r="65" s="13" customFormat="true" ht="15" hidden="false" customHeight="false" outlineLevel="0" collapsed="false">
      <c r="A65" s="9" t="s">
        <v>434</v>
      </c>
      <c r="B65" s="9" t="s">
        <v>658</v>
      </c>
      <c r="C65" s="9" t="n">
        <v>72114673472</v>
      </c>
      <c r="D65" s="9" t="n">
        <v>2</v>
      </c>
      <c r="F65" s="15" t="s">
        <v>435</v>
      </c>
      <c r="G65" s="15"/>
      <c r="H65" s="9" t="s">
        <v>33</v>
      </c>
      <c r="I65" s="49" t="s">
        <v>34</v>
      </c>
      <c r="J65" s="48" t="n">
        <v>458.21</v>
      </c>
      <c r="K65" s="9" t="s">
        <v>34</v>
      </c>
      <c r="L65" s="48"/>
      <c r="M65" s="48"/>
      <c r="N65" s="48" t="n">
        <v>229.1</v>
      </c>
      <c r="O65" s="53" t="n">
        <v>229.11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9"/>
      <c r="AD65" s="9"/>
    </row>
    <row r="66" s="13" customFormat="true" ht="15" hidden="false" customHeight="false" outlineLevel="0" collapsed="false">
      <c r="A66" s="9" t="s">
        <v>217</v>
      </c>
      <c r="B66" s="9" t="s">
        <v>658</v>
      </c>
      <c r="C66" s="47" t="n">
        <v>9733892491</v>
      </c>
      <c r="D66" s="9" t="n">
        <v>4</v>
      </c>
      <c r="F66" s="11" t="s">
        <v>219</v>
      </c>
      <c r="I66" s="49" t="s">
        <v>34</v>
      </c>
      <c r="J66" s="48" t="n">
        <v>6411.54</v>
      </c>
      <c r="K66" s="9" t="s">
        <v>34</v>
      </c>
      <c r="L66" s="9"/>
      <c r="M66" s="9"/>
      <c r="N66" s="9"/>
      <c r="O66" s="9"/>
      <c r="S66" s="9"/>
      <c r="T66" s="48" t="n">
        <v>1891.22</v>
      </c>
      <c r="U66" s="48" t="n">
        <v>1891.22</v>
      </c>
      <c r="V66" s="48" t="n">
        <v>1891.22</v>
      </c>
      <c r="W66" s="53" t="n">
        <v>737.88</v>
      </c>
      <c r="X66" s="9"/>
      <c r="Y66" s="9"/>
      <c r="Z66" s="9"/>
      <c r="AA66" s="9"/>
      <c r="AB66" s="9"/>
      <c r="AC66" s="48"/>
      <c r="AD66" s="48"/>
    </row>
    <row r="67" s="13" customFormat="true" ht="15" hidden="false" customHeight="false" outlineLevel="0" collapsed="false">
      <c r="A67" s="9" t="s">
        <v>58</v>
      </c>
      <c r="B67" s="9" t="s">
        <v>672</v>
      </c>
      <c r="C67" s="47" t="n">
        <v>789686406</v>
      </c>
      <c r="D67" s="9" t="n">
        <v>36</v>
      </c>
      <c r="F67" s="15" t="s">
        <v>690</v>
      </c>
      <c r="H67" s="9" t="s">
        <v>33</v>
      </c>
      <c r="J67" s="48" t="n">
        <v>5363.81</v>
      </c>
      <c r="L67" s="9"/>
      <c r="M67" s="9"/>
      <c r="N67" s="9"/>
      <c r="O67" s="9"/>
      <c r="P67" s="48" t="n">
        <v>148.99</v>
      </c>
      <c r="Q67" s="48" t="n">
        <v>148.99</v>
      </c>
      <c r="R67" s="48" t="n">
        <v>148.99</v>
      </c>
      <c r="S67" s="48" t="n">
        <v>148.99</v>
      </c>
      <c r="T67" s="48" t="n">
        <v>148.99</v>
      </c>
      <c r="U67" s="48" t="n">
        <v>148.99</v>
      </c>
      <c r="V67" s="48" t="n">
        <v>148.99</v>
      </c>
      <c r="W67" s="48" t="n">
        <v>148.99</v>
      </c>
      <c r="X67" s="48" t="n">
        <v>148.99</v>
      </c>
      <c r="Y67" s="48" t="n">
        <v>148.99</v>
      </c>
      <c r="Z67" s="48" t="n">
        <v>148.99</v>
      </c>
      <c r="AA67" s="48" t="n">
        <v>148.99</v>
      </c>
      <c r="AB67" s="48" t="n">
        <v>148.99</v>
      </c>
      <c r="AC67" s="48" t="n">
        <v>148.99</v>
      </c>
      <c r="AD67" s="48"/>
    </row>
    <row r="68" s="13" customFormat="true" ht="15" hidden="false" customHeight="false" outlineLevel="0" collapsed="false">
      <c r="A68" s="27" t="s">
        <v>80</v>
      </c>
      <c r="B68" s="9" t="s">
        <v>672</v>
      </c>
      <c r="C68" s="47" t="n">
        <v>10772359415</v>
      </c>
      <c r="D68" s="9" t="n">
        <v>30</v>
      </c>
      <c r="F68" s="11" t="s">
        <v>167</v>
      </c>
      <c r="G68" s="11"/>
      <c r="H68" s="9" t="s">
        <v>33</v>
      </c>
      <c r="J68" s="48" t="n">
        <v>87287.08</v>
      </c>
      <c r="L68" s="9"/>
      <c r="M68" s="9"/>
      <c r="N68" s="9"/>
      <c r="O68" s="9"/>
      <c r="S68" s="48" t="n">
        <v>2909.56</v>
      </c>
      <c r="T68" s="48" t="n">
        <v>2909.56</v>
      </c>
      <c r="U68" s="48" t="n">
        <v>2909.56</v>
      </c>
      <c r="V68" s="48" t="n">
        <v>2909.56</v>
      </c>
      <c r="W68" s="48" t="n">
        <v>2909.56</v>
      </c>
      <c r="X68" s="48" t="n">
        <v>2909.56</v>
      </c>
      <c r="Y68" s="48" t="n">
        <v>2909.56</v>
      </c>
      <c r="Z68" s="48" t="n">
        <v>2909.56</v>
      </c>
      <c r="AA68" s="48" t="n">
        <v>2909.56</v>
      </c>
      <c r="AB68" s="48" t="n">
        <v>2909.56</v>
      </c>
      <c r="AC68" s="9"/>
      <c r="AD68" s="9"/>
    </row>
    <row r="69" s="13" customFormat="true" ht="15" hidden="false" customHeight="false" outlineLevel="0" collapsed="false">
      <c r="A69" s="9" t="s">
        <v>612</v>
      </c>
      <c r="B69" s="9" t="s">
        <v>657</v>
      </c>
      <c r="C69" s="47" t="n">
        <v>6822161430</v>
      </c>
      <c r="D69" s="9" t="n">
        <v>6</v>
      </c>
      <c r="F69" s="15" t="s">
        <v>613</v>
      </c>
      <c r="H69" s="9" t="s">
        <v>33</v>
      </c>
      <c r="J69" s="48" t="n">
        <v>3231.62</v>
      </c>
      <c r="L69" s="9"/>
      <c r="M69" s="9"/>
      <c r="N69" s="9"/>
      <c r="O69" s="9"/>
      <c r="S69" s="9"/>
      <c r="T69" s="9"/>
      <c r="U69" s="9"/>
      <c r="V69" s="9"/>
      <c r="W69" s="9"/>
      <c r="X69" s="9"/>
      <c r="Y69" s="9"/>
      <c r="Z69" s="9"/>
      <c r="AA69" s="48" t="n">
        <v>538.6</v>
      </c>
      <c r="AB69" s="48" t="n">
        <v>538.6</v>
      </c>
      <c r="AC69" s="48"/>
      <c r="AD69" s="48"/>
    </row>
    <row r="70" s="13" customFormat="true" ht="15" hidden="false" customHeight="false" outlineLevel="0" collapsed="false">
      <c r="A70" s="9" t="s">
        <v>122</v>
      </c>
      <c r="B70" s="9" t="s">
        <v>657</v>
      </c>
      <c r="C70" s="47" t="n">
        <v>48161519404</v>
      </c>
      <c r="D70" s="9" t="n">
        <v>40</v>
      </c>
      <c r="E70" s="13" t="s">
        <v>682</v>
      </c>
      <c r="F70" s="11" t="s">
        <v>691</v>
      </c>
      <c r="G70" s="51"/>
      <c r="H70" s="9" t="s">
        <v>33</v>
      </c>
      <c r="J70" s="48" t="n">
        <v>16643.96</v>
      </c>
      <c r="K70" s="9" t="s">
        <v>34</v>
      </c>
      <c r="L70" s="9"/>
      <c r="M70" s="9"/>
      <c r="N70" s="9"/>
      <c r="O70" s="9"/>
      <c r="P70" s="48" t="n">
        <v>416.1</v>
      </c>
      <c r="Q70" s="48" t="n">
        <v>416.1</v>
      </c>
      <c r="R70" s="48" t="n">
        <v>416.1</v>
      </c>
      <c r="S70" s="48" t="n">
        <v>416.1</v>
      </c>
      <c r="T70" s="48" t="n">
        <v>416.1</v>
      </c>
      <c r="U70" s="48" t="n">
        <v>416.1</v>
      </c>
      <c r="V70" s="48" t="n">
        <v>416.1</v>
      </c>
      <c r="W70" s="48" t="n">
        <v>416.1</v>
      </c>
      <c r="X70" s="9"/>
      <c r="Y70" s="9"/>
      <c r="Z70" s="9"/>
      <c r="AA70" s="48" t="n">
        <v>416.1</v>
      </c>
      <c r="AB70" s="48" t="n">
        <v>416.1</v>
      </c>
      <c r="AC70" s="48"/>
      <c r="AD70" s="48"/>
    </row>
    <row r="71" s="13" customFormat="true" ht="15" hidden="false" customHeight="false" outlineLevel="0" collapsed="false">
      <c r="A71" s="9" t="s">
        <v>91</v>
      </c>
      <c r="B71" s="9" t="s">
        <v>657</v>
      </c>
      <c r="C71" s="47" t="n">
        <v>6975973423</v>
      </c>
      <c r="D71" s="9" t="n">
        <v>2</v>
      </c>
      <c r="F71" s="9" t="s">
        <v>668</v>
      </c>
      <c r="G71" s="9"/>
      <c r="H71" s="9" t="s">
        <v>33</v>
      </c>
      <c r="I71" s="49" t="s">
        <v>34</v>
      </c>
      <c r="J71" s="48" t="n">
        <v>1248.22</v>
      </c>
      <c r="K71" s="9" t="s">
        <v>34</v>
      </c>
      <c r="L71" s="9"/>
      <c r="M71" s="9"/>
      <c r="N71" s="9"/>
      <c r="O71" s="9"/>
      <c r="S71" s="9"/>
      <c r="T71" s="9"/>
      <c r="U71" s="9"/>
      <c r="V71" s="48" t="n">
        <v>624.11</v>
      </c>
      <c r="W71" s="53" t="n">
        <v>624.11</v>
      </c>
      <c r="X71" s="9"/>
      <c r="Y71" s="9"/>
      <c r="Z71" s="9"/>
      <c r="AA71" s="9"/>
      <c r="AB71" s="9"/>
      <c r="AC71" s="9"/>
      <c r="AD71" s="9"/>
    </row>
    <row r="72" s="13" customFormat="true" ht="15" hidden="false" customHeight="false" outlineLevel="0" collapsed="false">
      <c r="A72" s="9" t="s">
        <v>470</v>
      </c>
      <c r="B72" s="9"/>
      <c r="C72" s="47" t="n">
        <v>56518757434</v>
      </c>
      <c r="D72" s="9" t="n">
        <v>50</v>
      </c>
      <c r="F72" s="15" t="s">
        <v>471</v>
      </c>
      <c r="H72" s="9" t="s">
        <v>33</v>
      </c>
      <c r="J72" s="48" t="n">
        <v>8635.73</v>
      </c>
      <c r="L72" s="9"/>
      <c r="M72" s="9"/>
      <c r="N72" s="9"/>
      <c r="O72" s="9"/>
      <c r="S72" s="9"/>
      <c r="T72" s="48" t="n">
        <v>210.63</v>
      </c>
      <c r="U72" s="48" t="n">
        <v>210.63</v>
      </c>
      <c r="V72" s="48" t="n">
        <v>210.63</v>
      </c>
      <c r="W72" s="48" t="n">
        <v>210.63</v>
      </c>
      <c r="X72" s="48" t="n">
        <v>210.63</v>
      </c>
      <c r="Y72" s="48" t="n">
        <v>210.63</v>
      </c>
      <c r="Z72" s="48" t="n">
        <v>210.63</v>
      </c>
      <c r="AA72" s="48" t="n">
        <v>210.63</v>
      </c>
      <c r="AB72" s="48" t="n">
        <v>210.63</v>
      </c>
      <c r="AC72" s="9"/>
      <c r="AD72" s="9"/>
    </row>
    <row r="73" s="13" customFormat="true" ht="15" hidden="false" customHeight="false" outlineLevel="0" collapsed="false">
      <c r="A73" s="27" t="s">
        <v>239</v>
      </c>
      <c r="B73" s="9" t="s">
        <v>681</v>
      </c>
      <c r="C73" s="47" t="n">
        <v>9646515487</v>
      </c>
      <c r="D73" s="9" t="n">
        <v>29</v>
      </c>
      <c r="F73" s="9" t="s">
        <v>579</v>
      </c>
      <c r="G73" s="9"/>
      <c r="H73" s="9" t="s">
        <v>33</v>
      </c>
      <c r="J73" s="18" t="n">
        <v>61000</v>
      </c>
      <c r="L73" s="9"/>
      <c r="M73" s="9"/>
      <c r="N73" s="9"/>
      <c r="O73" s="9"/>
      <c r="S73" s="9"/>
      <c r="T73" s="18" t="n">
        <v>2134.94</v>
      </c>
      <c r="U73" s="18" t="n">
        <v>2134.94</v>
      </c>
      <c r="V73" s="9"/>
      <c r="W73" s="9"/>
      <c r="X73" s="9"/>
      <c r="Y73" s="9"/>
      <c r="Z73" s="9"/>
      <c r="AA73" s="9"/>
      <c r="AB73" s="9"/>
      <c r="AC73" s="9"/>
      <c r="AD73" s="9"/>
    </row>
    <row r="74" s="13" customFormat="true" ht="15" hidden="false" customHeight="false" outlineLevel="0" collapsed="false">
      <c r="A74" s="9" t="s">
        <v>440</v>
      </c>
      <c r="B74" s="9" t="s">
        <v>657</v>
      </c>
      <c r="C74" s="47" t="n">
        <v>6714080468</v>
      </c>
      <c r="D74" s="9" t="n">
        <v>3</v>
      </c>
      <c r="F74" s="11" t="s">
        <v>126</v>
      </c>
      <c r="G74" s="11"/>
      <c r="H74" s="9" t="s">
        <v>33</v>
      </c>
      <c r="I74" s="49" t="s">
        <v>34</v>
      </c>
      <c r="J74" s="48" t="n">
        <v>4788.48</v>
      </c>
      <c r="K74" s="9"/>
      <c r="T74" s="48" t="n">
        <v>2388.73</v>
      </c>
      <c r="U74" s="48" t="n">
        <v>2388.73</v>
      </c>
      <c r="V74" s="53" t="n">
        <v>11.03</v>
      </c>
      <c r="AC74" s="48"/>
      <c r="AD74" s="9"/>
    </row>
    <row r="75" s="13" customFormat="true" ht="15" hidden="false" customHeight="false" outlineLevel="0" collapsed="false">
      <c r="A75" s="9" t="s">
        <v>117</v>
      </c>
      <c r="B75" s="9" t="s">
        <v>675</v>
      </c>
      <c r="C75" s="9" t="n">
        <v>39242730491</v>
      </c>
      <c r="D75" s="9" t="n">
        <v>28</v>
      </c>
      <c r="F75" s="15" t="s">
        <v>72</v>
      </c>
      <c r="G75" s="15"/>
      <c r="H75" s="9" t="s">
        <v>33</v>
      </c>
      <c r="J75" s="48" t="n">
        <v>5668.21</v>
      </c>
      <c r="K75" s="9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 t="n">
        <v>202.43</v>
      </c>
      <c r="X75" s="48" t="n">
        <v>202.43</v>
      </c>
      <c r="Y75" s="48" t="n">
        <v>202.43</v>
      </c>
      <c r="Z75" s="48" t="n">
        <v>202.43</v>
      </c>
      <c r="AA75" s="48" t="n">
        <v>202.43</v>
      </c>
      <c r="AB75" s="48" t="n">
        <v>202.43</v>
      </c>
      <c r="AC75" s="48"/>
      <c r="AD75" s="9"/>
    </row>
    <row r="76" s="13" customFormat="true" ht="15" hidden="false" customHeight="false" outlineLevel="0" collapsed="false">
      <c r="A76" s="9" t="s">
        <v>494</v>
      </c>
      <c r="B76" s="9" t="s">
        <v>657</v>
      </c>
      <c r="C76" s="60" t="n">
        <v>42999979487</v>
      </c>
      <c r="D76" s="9" t="n">
        <v>7</v>
      </c>
      <c r="F76" s="11" t="s">
        <v>167</v>
      </c>
      <c r="H76" s="9" t="s">
        <v>33</v>
      </c>
      <c r="J76" s="48" t="n">
        <v>6941.47</v>
      </c>
      <c r="L76" s="9"/>
      <c r="M76" s="9"/>
      <c r="N76" s="9"/>
      <c r="O76" s="9"/>
      <c r="S76" s="9"/>
      <c r="T76" s="9"/>
      <c r="U76" s="9"/>
      <c r="V76" s="9"/>
      <c r="W76" s="9"/>
      <c r="X76" s="9"/>
      <c r="Y76" s="9"/>
      <c r="Z76" s="48" t="n">
        <v>1052.56</v>
      </c>
      <c r="AA76" s="48" t="n">
        <v>1052.56</v>
      </c>
      <c r="AB76" s="48" t="n">
        <v>1052.56</v>
      </c>
      <c r="AC76" s="48" t="n">
        <v>1052.56</v>
      </c>
      <c r="AD76" s="9"/>
    </row>
    <row r="77" s="13" customFormat="true" ht="15" hidden="false" customHeight="false" outlineLevel="0" collapsed="false">
      <c r="A77" s="9" t="s">
        <v>632</v>
      </c>
      <c r="B77" s="9"/>
      <c r="C77" s="60" t="n">
        <v>9733892491</v>
      </c>
      <c r="D77" s="9" t="n">
        <v>1</v>
      </c>
      <c r="F77" s="35" t="s">
        <v>633</v>
      </c>
      <c r="G77" s="15" t="s">
        <v>634</v>
      </c>
      <c r="H77" s="9" t="s">
        <v>33</v>
      </c>
      <c r="J77" s="48" t="n">
        <v>1090.47</v>
      </c>
      <c r="L77" s="9"/>
      <c r="M77" s="9"/>
      <c r="N77" s="9"/>
      <c r="O77" s="9"/>
      <c r="S77" s="9"/>
      <c r="T77" s="9"/>
      <c r="U77" s="9"/>
      <c r="V77" s="9"/>
      <c r="W77" s="9"/>
      <c r="X77" s="9"/>
      <c r="Y77" s="9"/>
      <c r="Z77" s="9"/>
      <c r="AA77" s="53" t="n">
        <v>1090.47</v>
      </c>
      <c r="AB77" s="9"/>
      <c r="AC77" s="9"/>
      <c r="AD77" s="9"/>
    </row>
    <row r="78" s="13" customFormat="true" ht="15" hidden="false" customHeight="false" outlineLevel="0" collapsed="false">
      <c r="A78" s="9" t="s">
        <v>636</v>
      </c>
      <c r="B78" s="9"/>
      <c r="C78" s="60" t="n">
        <v>8548536420</v>
      </c>
      <c r="D78" s="9" t="n">
        <v>20</v>
      </c>
      <c r="F78" s="11" t="s">
        <v>25</v>
      </c>
      <c r="H78" s="9" t="s">
        <v>33</v>
      </c>
      <c r="J78" s="48" t="n">
        <v>4065.45</v>
      </c>
      <c r="L78" s="9"/>
      <c r="M78" s="9"/>
      <c r="N78" s="9"/>
      <c r="O78" s="9"/>
      <c r="S78" s="9"/>
      <c r="T78" s="9"/>
      <c r="U78" s="9"/>
      <c r="V78" s="9"/>
      <c r="W78" s="9"/>
      <c r="X78" s="9"/>
      <c r="Y78" s="9"/>
      <c r="Z78" s="9"/>
      <c r="AA78" s="48" t="n">
        <v>210.73</v>
      </c>
      <c r="AB78" s="48" t="n">
        <v>210.73</v>
      </c>
      <c r="AC78" s="48" t="n">
        <v>210.73</v>
      </c>
      <c r="AD78" s="9"/>
    </row>
    <row r="79" s="13" customFormat="true" ht="15" hidden="false" customHeight="false" outlineLevel="0" collapsed="false">
      <c r="A79" s="9" t="s">
        <v>637</v>
      </c>
      <c r="B79" s="9" t="s">
        <v>657</v>
      </c>
      <c r="C79" s="60" t="n">
        <v>22983333434</v>
      </c>
      <c r="D79" s="9" t="n">
        <v>24</v>
      </c>
      <c r="F79" s="11" t="s">
        <v>25</v>
      </c>
      <c r="H79" s="9" t="s">
        <v>33</v>
      </c>
      <c r="J79" s="48" t="n">
        <v>18059.99</v>
      </c>
      <c r="L79" s="9"/>
      <c r="M79" s="9"/>
      <c r="N79" s="9"/>
      <c r="O79" s="9"/>
      <c r="S79" s="9"/>
      <c r="T79" s="9"/>
      <c r="U79" s="9"/>
      <c r="V79" s="9"/>
      <c r="W79" s="9"/>
      <c r="X79" s="9"/>
      <c r="Y79" s="9"/>
      <c r="Z79" s="9"/>
      <c r="AA79" s="9"/>
      <c r="AB79" s="48" t="n">
        <v>780.74</v>
      </c>
      <c r="AC79" s="48" t="n">
        <v>780.74</v>
      </c>
      <c r="AD79" s="9"/>
    </row>
    <row r="80" s="13" customFormat="true" ht="15" hidden="false" customHeight="false" outlineLevel="0" collapsed="false">
      <c r="A80" s="9"/>
      <c r="B80" s="9"/>
      <c r="C80" s="60"/>
      <c r="D80" s="9"/>
      <c r="J80" s="18"/>
      <c r="L80" s="9"/>
      <c r="M80" s="9"/>
      <c r="N80" s="9"/>
      <c r="O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="13" customFormat="true" ht="15" hidden="false" customHeight="false" outlineLevel="0" collapsed="false">
      <c r="B81" s="9"/>
      <c r="C81" s="47"/>
      <c r="D81" s="9"/>
      <c r="J81" s="18"/>
      <c r="L81" s="9"/>
      <c r="M81" s="9"/>
      <c r="N81" s="9"/>
      <c r="O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="13" customFormat="true" ht="15" hidden="false" customHeight="false" outlineLevel="0" collapsed="false">
      <c r="B82" s="9"/>
      <c r="C82" s="47"/>
      <c r="D82" s="9"/>
      <c r="J82" s="18"/>
      <c r="L82" s="9"/>
      <c r="M82" s="9"/>
      <c r="N82" s="9"/>
      <c r="O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="13" customFormat="true" ht="15" hidden="false" customHeight="false" outlineLevel="0" collapsed="false">
      <c r="B83" s="9"/>
      <c r="C83" s="47"/>
      <c r="D83" s="9"/>
      <c r="J83" s="18"/>
      <c r="L83" s="9"/>
      <c r="M83" s="9"/>
      <c r="N83" s="9"/>
      <c r="O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customFormat="false" ht="25.35" hidden="false" customHeight="false" outlineLevel="0" collapsed="false">
      <c r="A84" s="61" t="s">
        <v>647</v>
      </c>
      <c r="B84" s="62"/>
      <c r="J84" s="3"/>
    </row>
    <row r="85" customFormat="false" ht="23.85" hidden="false" customHeight="false" outlineLevel="0" collapsed="false">
      <c r="A85" s="44" t="s">
        <v>649</v>
      </c>
      <c r="B85" s="63"/>
      <c r="J85" s="3"/>
    </row>
    <row r="86" customFormat="false" ht="23.85" hidden="false" customHeight="false" outlineLevel="0" collapsed="false">
      <c r="A86" s="64" t="s">
        <v>692</v>
      </c>
      <c r="B86" s="63"/>
      <c r="J86" s="3"/>
    </row>
    <row r="87" customFormat="false" ht="68.65" hidden="false" customHeight="false" outlineLevel="0" collapsed="false">
      <c r="A87" s="45" t="s">
        <v>650</v>
      </c>
      <c r="J87" s="3"/>
    </row>
  </sheetData>
  <autoFilter ref="A1:AB75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true" showRowColHeaders="true" showZeros="true" rightToLeft="false" tabSelected="false" showOutlineSymbols="true" defaultGridColor="true" view="normal" topLeftCell="H4" colorId="64" zoomScale="100" zoomScaleNormal="100" zoomScalePageLayoutView="100" workbookViewId="0">
      <selection pane="topLeft" activeCell="K11" activeCellId="0" sqref="K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4" width="13.57"/>
    <col collapsed="false" customWidth="true" hidden="false" outlineLevel="0" max="2" min="2" style="4" width="12.71"/>
    <col collapsed="false" customWidth="true" hidden="false" outlineLevel="0" max="3" min="3" style="4" width="14.86"/>
    <col collapsed="false" customWidth="true" hidden="false" outlineLevel="0" max="4" min="4" style="4" width="19.14"/>
    <col collapsed="false" customWidth="true" hidden="false" outlineLevel="0" max="5" min="5" style="4" width="12.71"/>
    <col collapsed="false" customWidth="true" hidden="false" outlineLevel="0" max="6" min="6" style="4" width="16.84"/>
    <col collapsed="false" customWidth="true" hidden="false" outlineLevel="0" max="7" min="7" style="4" width="25.71"/>
    <col collapsed="false" customWidth="true" hidden="false" outlineLevel="0" max="8" min="8" style="4" width="13.86"/>
    <col collapsed="false" customWidth="true" hidden="false" outlineLevel="0" max="9" min="9" style="4" width="24.14"/>
    <col collapsed="false" customWidth="true" hidden="false" outlineLevel="0" max="10" min="10" style="4" width="27.71"/>
    <col collapsed="false" customWidth="true" hidden="false" outlineLevel="0" max="11" min="11" style="4" width="22.29"/>
    <col collapsed="false" customWidth="true" hidden="false" outlineLevel="0" max="12" min="12" style="4" width="15.57"/>
    <col collapsed="false" customWidth="true" hidden="false" outlineLevel="0" max="13" min="13" style="4" width="18.42"/>
    <col collapsed="false" customWidth="true" hidden="false" outlineLevel="0" max="14" min="14" style="4" width="20.57"/>
    <col collapsed="false" customWidth="true" hidden="false" outlineLevel="0" max="15" min="15" style="4" width="17.29"/>
    <col collapsed="false" customWidth="true" hidden="false" outlineLevel="0" max="16" min="16" style="4" width="12.42"/>
    <col collapsed="false" customWidth="true" hidden="false" outlineLevel="0" max="17" min="17" style="4" width="17.71"/>
    <col collapsed="false" customWidth="true" hidden="false" outlineLevel="0" max="18" min="18" style="4" width="46.29"/>
    <col collapsed="false" customWidth="true" hidden="false" outlineLevel="0" max="19" min="19" style="4" width="27.57"/>
    <col collapsed="false" customWidth="true" hidden="false" outlineLevel="0" max="20" min="20" style="4" width="85.42"/>
  </cols>
  <sheetData>
    <row r="1" customFormat="false" ht="26.25" hidden="false" customHeight="true" outlineLevel="0" collapsed="false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7" t="s">
        <v>11</v>
      </c>
      <c r="J1" s="6" t="s">
        <v>12</v>
      </c>
      <c r="K1" s="6" t="s">
        <v>693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</row>
    <row r="2" customFormat="false" ht="15" hidden="false" customHeight="false" outlineLevel="0" collapsed="false">
      <c r="A2" s="9" t="s">
        <v>694</v>
      </c>
      <c r="B2" s="10" t="n">
        <v>42965</v>
      </c>
      <c r="C2" s="10" t="n">
        <v>42965</v>
      </c>
      <c r="D2" s="10" t="n">
        <v>42972</v>
      </c>
      <c r="E2" s="10" t="n">
        <v>42975</v>
      </c>
      <c r="F2" s="10"/>
      <c r="G2" s="10"/>
      <c r="H2" s="11" t="s">
        <v>34</v>
      </c>
      <c r="I2" s="11" t="s">
        <v>24</v>
      </c>
      <c r="J2" s="11" t="s">
        <v>25</v>
      </c>
      <c r="K2" s="11"/>
      <c r="L2" s="11" t="s">
        <v>34</v>
      </c>
      <c r="M2" s="10"/>
      <c r="N2" s="11"/>
      <c r="O2" s="11"/>
      <c r="P2" s="11"/>
      <c r="Q2" s="12" t="n">
        <v>500</v>
      </c>
      <c r="R2" s="13" t="s">
        <v>695</v>
      </c>
      <c r="S2" s="14" t="n">
        <v>87677830404</v>
      </c>
      <c r="T2" s="13"/>
    </row>
    <row r="3" customFormat="false" ht="15" hidden="false" customHeight="false" outlineLevel="0" collapsed="false">
      <c r="A3" s="9" t="s">
        <v>696</v>
      </c>
      <c r="B3" s="10" t="n">
        <v>42962</v>
      </c>
      <c r="C3" s="10"/>
      <c r="D3" s="10"/>
      <c r="E3" s="10"/>
      <c r="F3" s="13"/>
      <c r="G3" s="13"/>
      <c r="H3" s="11" t="s">
        <v>34</v>
      </c>
      <c r="I3" s="11" t="s">
        <v>24</v>
      </c>
      <c r="J3" s="11" t="s">
        <v>167</v>
      </c>
      <c r="K3" s="13"/>
      <c r="L3" s="11" t="s">
        <v>34</v>
      </c>
      <c r="M3" s="13"/>
      <c r="N3" s="13"/>
      <c r="O3" s="13"/>
      <c r="P3" s="13"/>
      <c r="Q3" s="12" t="n">
        <v>1680</v>
      </c>
      <c r="R3" s="13" t="s">
        <v>697</v>
      </c>
      <c r="S3" s="14" t="n">
        <v>50288890400</v>
      </c>
      <c r="T3" s="13"/>
    </row>
    <row r="4" customFormat="false" ht="15" hidden="false" customHeight="false" outlineLevel="0" collapsed="false">
      <c r="A4" s="9" t="s">
        <v>698</v>
      </c>
      <c r="B4" s="10"/>
      <c r="C4" s="10" t="n">
        <v>42836</v>
      </c>
      <c r="D4" s="10" t="n">
        <v>42909</v>
      </c>
      <c r="E4" s="10" t="n">
        <v>42928</v>
      </c>
      <c r="F4" s="13"/>
      <c r="G4" s="13"/>
      <c r="H4" s="11" t="s">
        <v>34</v>
      </c>
      <c r="I4" s="11" t="s">
        <v>24</v>
      </c>
      <c r="J4" s="11" t="s">
        <v>167</v>
      </c>
      <c r="K4" s="13"/>
      <c r="L4" s="11"/>
      <c r="M4" s="13"/>
      <c r="N4" s="13"/>
      <c r="O4" s="13"/>
      <c r="P4" s="13"/>
      <c r="Q4" s="12" t="n">
        <v>500</v>
      </c>
      <c r="R4" s="13" t="s">
        <v>699</v>
      </c>
      <c r="S4" s="14" t="n">
        <v>59668784472</v>
      </c>
      <c r="T4" s="13"/>
    </row>
    <row r="5" customFormat="false" ht="15" hidden="false" customHeight="false" outlineLevel="0" collapsed="false">
      <c r="A5" s="9" t="s">
        <v>700</v>
      </c>
      <c r="B5" s="10" t="n">
        <v>42905</v>
      </c>
      <c r="C5" s="10" t="n">
        <v>42909</v>
      </c>
      <c r="D5" s="10" t="n">
        <v>42916</v>
      </c>
      <c r="E5" s="10" t="n">
        <v>42929</v>
      </c>
      <c r="F5" s="13"/>
      <c r="G5" s="13"/>
      <c r="H5" s="11" t="s">
        <v>34</v>
      </c>
      <c r="I5" s="11" t="s">
        <v>24</v>
      </c>
      <c r="J5" s="11" t="s">
        <v>279</v>
      </c>
      <c r="K5" s="13"/>
      <c r="L5" s="11"/>
      <c r="M5" s="13"/>
      <c r="N5" s="13"/>
      <c r="O5" s="13"/>
      <c r="P5" s="13"/>
      <c r="Q5" s="12"/>
      <c r="R5" s="13"/>
      <c r="S5" s="14"/>
      <c r="T5" s="13"/>
    </row>
    <row r="6" customFormat="false" ht="15" hidden="false" customHeight="false" outlineLevel="0" collapsed="false">
      <c r="A6" s="9" t="s">
        <v>701</v>
      </c>
      <c r="B6" s="10"/>
      <c r="C6" s="10"/>
      <c r="D6" s="10"/>
      <c r="E6" s="10"/>
      <c r="F6" s="11"/>
      <c r="G6" s="11"/>
      <c r="H6" s="11" t="s">
        <v>34</v>
      </c>
      <c r="I6" s="11" t="s">
        <v>24</v>
      </c>
      <c r="J6" s="11" t="s">
        <v>702</v>
      </c>
      <c r="K6" s="11" t="s">
        <v>703</v>
      </c>
      <c r="L6" s="15"/>
      <c r="M6" s="11"/>
      <c r="N6" s="11"/>
      <c r="O6" s="11"/>
      <c r="P6" s="11"/>
      <c r="Q6" s="12" t="n">
        <v>27448</v>
      </c>
      <c r="R6" s="13" t="s">
        <v>332</v>
      </c>
      <c r="S6" s="14" t="n">
        <v>12977608400</v>
      </c>
      <c r="T6" s="13"/>
      <c r="U6" s="14"/>
      <c r="V6" s="13"/>
    </row>
    <row r="7" customFormat="false" ht="15" hidden="false" customHeight="false" outlineLevel="0" collapsed="false">
      <c r="A7" s="9" t="s">
        <v>704</v>
      </c>
      <c r="B7" s="10" t="n">
        <v>42843</v>
      </c>
      <c r="C7" s="10" t="n">
        <v>42900</v>
      </c>
      <c r="D7" s="10" t="n">
        <v>42913</v>
      </c>
      <c r="E7" s="10" t="n">
        <v>42947</v>
      </c>
      <c r="F7" s="13"/>
      <c r="G7" s="13"/>
      <c r="H7" s="11" t="s">
        <v>34</v>
      </c>
      <c r="I7" s="11" t="s">
        <v>24</v>
      </c>
      <c r="J7" s="11" t="s">
        <v>126</v>
      </c>
      <c r="K7" s="13"/>
      <c r="L7" s="11"/>
      <c r="M7" s="13"/>
      <c r="N7" s="13"/>
      <c r="O7" s="13"/>
      <c r="P7" s="13"/>
      <c r="Q7" s="12"/>
      <c r="R7" s="13" t="s">
        <v>705</v>
      </c>
      <c r="S7" s="14" t="n">
        <v>75128799468</v>
      </c>
      <c r="T7" s="13"/>
    </row>
    <row r="8" customFormat="false" ht="15" hidden="false" customHeight="false" outlineLevel="0" collapsed="false">
      <c r="A8" s="9" t="s">
        <v>706</v>
      </c>
      <c r="B8" s="10" t="n">
        <v>42894</v>
      </c>
      <c r="C8" s="10" t="n">
        <v>42900</v>
      </c>
      <c r="D8" s="10" t="n">
        <v>42909</v>
      </c>
      <c r="E8" s="10" t="n">
        <v>42928</v>
      </c>
      <c r="F8" s="13"/>
      <c r="G8" s="13"/>
      <c r="H8" s="11" t="s">
        <v>34</v>
      </c>
      <c r="I8" s="11" t="s">
        <v>24</v>
      </c>
      <c r="J8" s="11" t="s">
        <v>167</v>
      </c>
      <c r="K8" s="13"/>
      <c r="L8" s="11"/>
      <c r="M8" s="13"/>
      <c r="N8" s="13"/>
      <c r="O8" s="13"/>
      <c r="P8" s="13"/>
      <c r="Q8" s="12" t="n">
        <v>5730</v>
      </c>
      <c r="R8" s="13" t="s">
        <v>707</v>
      </c>
      <c r="S8" s="14" t="n">
        <v>87519607453</v>
      </c>
      <c r="T8" s="13"/>
    </row>
    <row r="9" customFormat="false" ht="15" hidden="false" customHeight="false" outlineLevel="0" collapsed="false">
      <c r="A9" s="9" t="s">
        <v>708</v>
      </c>
      <c r="B9" s="10" t="n">
        <v>42895</v>
      </c>
      <c r="C9" s="10" t="n">
        <v>42905</v>
      </c>
      <c r="D9" s="10" t="n">
        <v>42908</v>
      </c>
      <c r="E9" s="10" t="n">
        <v>42929</v>
      </c>
      <c r="F9" s="13"/>
      <c r="G9" s="13"/>
      <c r="H9" s="11" t="s">
        <v>34</v>
      </c>
      <c r="I9" s="11" t="s">
        <v>24</v>
      </c>
      <c r="J9" s="11" t="s">
        <v>279</v>
      </c>
      <c r="K9" s="13" t="s">
        <v>709</v>
      </c>
      <c r="L9" s="11"/>
      <c r="M9" s="13"/>
      <c r="N9" s="13"/>
      <c r="O9" s="13"/>
      <c r="P9" s="13"/>
      <c r="Q9" s="12" t="n">
        <v>22500</v>
      </c>
      <c r="R9" s="13" t="s">
        <v>710</v>
      </c>
      <c r="S9" s="14" t="n">
        <v>63841746420</v>
      </c>
      <c r="T9" s="13"/>
    </row>
    <row r="10" customFormat="false" ht="15" hidden="false" customHeight="false" outlineLevel="0" collapsed="false">
      <c r="A10" s="63" t="s">
        <v>711</v>
      </c>
      <c r="B10" s="10" t="n">
        <v>42937</v>
      </c>
      <c r="C10" s="10" t="n">
        <v>42937</v>
      </c>
      <c r="D10" s="10" t="n">
        <v>42943</v>
      </c>
      <c r="E10" s="10" t="n">
        <v>42962</v>
      </c>
      <c r="F10" s="13"/>
      <c r="G10" s="13"/>
      <c r="H10" s="11" t="s">
        <v>34</v>
      </c>
      <c r="I10" s="11" t="s">
        <v>24</v>
      </c>
      <c r="J10" s="11" t="s">
        <v>279</v>
      </c>
      <c r="K10" s="13" t="s">
        <v>712</v>
      </c>
      <c r="L10" s="11"/>
      <c r="M10" s="13"/>
      <c r="N10" s="13"/>
      <c r="O10" s="13"/>
      <c r="P10" s="13"/>
      <c r="Q10" s="12" t="n">
        <v>12900</v>
      </c>
      <c r="R10" s="13" t="s">
        <v>713</v>
      </c>
      <c r="S10" s="14" t="n">
        <v>56565925453</v>
      </c>
      <c r="T10" s="13"/>
    </row>
    <row r="11" customFormat="false" ht="15" hidden="false" customHeight="false" outlineLevel="0" collapsed="false">
      <c r="A11" s="9"/>
      <c r="B11" s="10"/>
      <c r="C11" s="10"/>
      <c r="D11" s="10"/>
      <c r="E11" s="10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2"/>
      <c r="R11" s="13"/>
      <c r="S11" s="14"/>
      <c r="T11" s="13"/>
    </row>
    <row r="12" customFormat="false" ht="15" hidden="false" customHeight="false" outlineLevel="0" collapsed="false">
      <c r="A12" s="9"/>
      <c r="B12" s="10"/>
      <c r="C12" s="10"/>
      <c r="D12" s="10"/>
      <c r="E12" s="10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2"/>
      <c r="R12" s="13"/>
      <c r="S12" s="14"/>
      <c r="T12" s="13"/>
    </row>
    <row r="13" customFormat="false" ht="15" hidden="false" customHeight="false" outlineLevel="0" collapsed="false">
      <c r="A13" s="9"/>
      <c r="B13" s="10"/>
      <c r="C13" s="10"/>
      <c r="D13" s="10"/>
      <c r="E13" s="10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2"/>
      <c r="R13" s="13"/>
      <c r="S13" s="14"/>
      <c r="T13" s="13"/>
    </row>
    <row r="14" customFormat="false" ht="15" hidden="false" customHeight="false" outlineLevel="0" collapsed="false">
      <c r="A14" s="9"/>
      <c r="B14" s="10"/>
      <c r="C14" s="10"/>
      <c r="D14" s="10"/>
      <c r="E14" s="10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2"/>
      <c r="R14" s="13"/>
      <c r="S14" s="14"/>
      <c r="T14" s="13"/>
    </row>
    <row r="15" customFormat="false" ht="15" hidden="false" customHeight="false" outlineLevel="0" collapsed="false">
      <c r="A15" s="9"/>
      <c r="B15" s="10"/>
      <c r="C15" s="10"/>
      <c r="D15" s="10"/>
      <c r="E15" s="10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2"/>
      <c r="R15" s="13"/>
      <c r="S15" s="14"/>
      <c r="T15" s="13"/>
    </row>
    <row r="16" customFormat="false" ht="15" hidden="false" customHeight="false" outlineLevel="0" collapsed="false">
      <c r="A16" s="9"/>
      <c r="B16" s="10"/>
      <c r="C16" s="10"/>
      <c r="D16" s="10"/>
      <c r="E16" s="10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2"/>
      <c r="R16" s="13"/>
      <c r="S16" s="14"/>
      <c r="T16" s="13"/>
    </row>
    <row r="17" customFormat="false" ht="15" hidden="false" customHeight="false" outlineLevel="0" collapsed="false">
      <c r="A17" s="9"/>
      <c r="B17" s="10"/>
      <c r="C17" s="10"/>
      <c r="D17" s="10"/>
      <c r="E17" s="10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2"/>
      <c r="R17" s="13"/>
      <c r="S17" s="14"/>
      <c r="T17" s="13"/>
    </row>
    <row r="18" customFormat="false" ht="15" hidden="false" customHeight="false" outlineLevel="0" collapsed="false">
      <c r="A18" s="9"/>
      <c r="B18" s="10"/>
      <c r="C18" s="10"/>
      <c r="D18" s="10"/>
      <c r="E18" s="10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2"/>
      <c r="R18" s="13"/>
      <c r="S18" s="14"/>
      <c r="T18" s="13"/>
    </row>
    <row r="19" customFormat="false" ht="15" hidden="false" customHeight="false" outlineLevel="0" collapsed="false">
      <c r="A19" s="9"/>
      <c r="B19" s="10"/>
      <c r="C19" s="10"/>
      <c r="D19" s="10"/>
      <c r="E19" s="10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2"/>
      <c r="R19" s="13"/>
      <c r="S19" s="14"/>
      <c r="T19" s="13"/>
    </row>
    <row r="20" customFormat="false" ht="15" hidden="false" customHeight="false" outlineLevel="0" collapsed="false">
      <c r="A20" s="9"/>
      <c r="B20" s="10"/>
      <c r="C20" s="10"/>
      <c r="D20" s="10"/>
      <c r="E20" s="10"/>
      <c r="F20" s="13"/>
      <c r="G20" s="13"/>
      <c r="H20" s="11"/>
      <c r="I20" s="11"/>
      <c r="J20" s="11"/>
      <c r="K20" s="13"/>
      <c r="L20" s="11"/>
      <c r="M20" s="13"/>
      <c r="N20" s="13"/>
      <c r="O20" s="13"/>
      <c r="P20" s="13"/>
      <c r="Q20" s="12"/>
      <c r="R20" s="13"/>
      <c r="S20" s="14"/>
      <c r="T20" s="13"/>
    </row>
    <row r="21" customFormat="false" ht="15" hidden="false" customHeight="false" outlineLevel="0" collapsed="false">
      <c r="A21" s="9"/>
      <c r="B21" s="10"/>
      <c r="C21" s="10"/>
      <c r="D21" s="10"/>
      <c r="E21" s="10"/>
      <c r="F21" s="13"/>
      <c r="G21" s="13"/>
      <c r="H21" s="11"/>
      <c r="I21" s="11"/>
      <c r="J21" s="11"/>
      <c r="K21" s="13"/>
      <c r="L21" s="11"/>
      <c r="M21" s="13"/>
      <c r="N21" s="13"/>
      <c r="O21" s="13"/>
      <c r="P21" s="13"/>
      <c r="Q21" s="12"/>
      <c r="R21" s="13"/>
      <c r="S21" s="14"/>
      <c r="T21" s="13"/>
    </row>
    <row r="22" customFormat="false" ht="15" hidden="false" customHeight="false" outlineLevel="0" collapsed="false">
      <c r="A22" s="9"/>
      <c r="B22" s="10"/>
      <c r="C22" s="10"/>
      <c r="D22" s="10"/>
      <c r="E22" s="10"/>
      <c r="F22" s="13"/>
      <c r="G22" s="13"/>
      <c r="H22" s="11"/>
      <c r="I22" s="11"/>
      <c r="J22" s="11"/>
      <c r="K22" s="13"/>
      <c r="L22" s="11"/>
      <c r="M22" s="13"/>
      <c r="N22" s="13"/>
      <c r="O22" s="13"/>
      <c r="P22" s="13"/>
      <c r="Q22" s="12"/>
      <c r="R22" s="13"/>
      <c r="S22" s="14"/>
      <c r="T22" s="13"/>
    </row>
    <row r="23" customFormat="false" ht="15" hidden="false" customHeight="false" outlineLevel="0" collapsed="false">
      <c r="A23" s="9"/>
      <c r="B23" s="10"/>
      <c r="C23" s="10"/>
      <c r="D23" s="10"/>
      <c r="E23" s="10"/>
      <c r="F23" s="13"/>
      <c r="G23" s="13"/>
      <c r="H23" s="11"/>
      <c r="I23" s="11"/>
      <c r="J23" s="11"/>
      <c r="K23" s="13"/>
      <c r="L23" s="11"/>
      <c r="M23" s="13"/>
      <c r="N23" s="13"/>
      <c r="O23" s="13"/>
      <c r="P23" s="13"/>
      <c r="Q23" s="12"/>
      <c r="R23" s="13"/>
      <c r="S23" s="14"/>
      <c r="T23" s="13"/>
    </row>
    <row r="24" customFormat="false" ht="15" hidden="false" customHeight="false" outlineLevel="0" collapsed="false">
      <c r="A24" s="9"/>
      <c r="B24" s="10"/>
      <c r="C24" s="10"/>
      <c r="D24" s="10"/>
      <c r="E24" s="10"/>
      <c r="F24" s="13"/>
      <c r="G24" s="13"/>
      <c r="H24" s="11"/>
      <c r="I24" s="11"/>
      <c r="J24" s="11"/>
      <c r="K24" s="13"/>
      <c r="L24" s="11"/>
      <c r="M24" s="13"/>
      <c r="N24" s="13"/>
      <c r="O24" s="13"/>
      <c r="P24" s="13"/>
      <c r="Q24" s="12"/>
      <c r="R24" s="13"/>
      <c r="S24" s="14"/>
      <c r="T24" s="13"/>
    </row>
    <row r="25" customFormat="false" ht="15" hidden="false" customHeight="false" outlineLevel="0" collapsed="false">
      <c r="A25" s="9"/>
      <c r="B25" s="10"/>
      <c r="C25" s="10"/>
      <c r="D25" s="10"/>
      <c r="E25" s="10"/>
      <c r="F25" s="13"/>
      <c r="G25" s="13"/>
      <c r="H25" s="11"/>
      <c r="I25" s="11"/>
      <c r="J25" s="11"/>
      <c r="K25" s="13"/>
      <c r="L25" s="11"/>
      <c r="M25" s="13"/>
      <c r="N25" s="13"/>
      <c r="O25" s="13"/>
      <c r="P25" s="13"/>
      <c r="Q25" s="12"/>
      <c r="R25" s="13"/>
      <c r="S25" s="14"/>
      <c r="T25" s="13"/>
    </row>
    <row r="26" customFormat="false" ht="15" hidden="false" customHeight="false" outlineLevel="0" collapsed="false">
      <c r="A26" s="9"/>
      <c r="B26" s="10"/>
      <c r="C26" s="10"/>
      <c r="D26" s="10"/>
      <c r="E26" s="10"/>
      <c r="F26" s="13"/>
      <c r="G26" s="13"/>
      <c r="H26" s="11"/>
      <c r="I26" s="11"/>
      <c r="J26" s="11"/>
      <c r="K26" s="13"/>
      <c r="L26" s="11"/>
      <c r="M26" s="13"/>
      <c r="N26" s="13"/>
      <c r="O26" s="13"/>
      <c r="P26" s="13"/>
      <c r="Q26" s="12"/>
      <c r="R26" s="13"/>
      <c r="S26" s="14"/>
      <c r="T26" s="13"/>
    </row>
    <row r="27" customFormat="false" ht="15" hidden="false" customHeight="false" outlineLevel="0" collapsed="false">
      <c r="A27" s="9"/>
      <c r="B27" s="10"/>
      <c r="C27" s="10"/>
      <c r="D27" s="10"/>
      <c r="E27" s="10"/>
      <c r="F27" s="13"/>
      <c r="G27" s="13"/>
      <c r="H27" s="11"/>
      <c r="I27" s="11"/>
      <c r="J27" s="11"/>
      <c r="K27" s="13"/>
      <c r="L27" s="11"/>
      <c r="M27" s="13"/>
      <c r="N27" s="13"/>
      <c r="O27" s="13"/>
      <c r="P27" s="13"/>
      <c r="Q27" s="12"/>
      <c r="R27" s="13"/>
      <c r="S27" s="14"/>
      <c r="T27" s="13"/>
    </row>
    <row r="28" customFormat="false" ht="15" hidden="false" customHeight="false" outlineLevel="0" collapsed="false">
      <c r="A28" s="9"/>
      <c r="B28" s="10"/>
      <c r="C28" s="10"/>
      <c r="D28" s="10"/>
      <c r="E28" s="10"/>
      <c r="F28" s="13"/>
      <c r="G28" s="13"/>
      <c r="H28" s="11"/>
      <c r="I28" s="11"/>
      <c r="J28" s="11"/>
      <c r="K28" s="13"/>
      <c r="L28" s="11"/>
      <c r="M28" s="13"/>
      <c r="N28" s="13"/>
      <c r="O28" s="13"/>
      <c r="P28" s="13"/>
      <c r="Q28" s="12"/>
      <c r="R28" s="13"/>
      <c r="S28" s="14"/>
      <c r="T28" s="13"/>
    </row>
    <row r="29" customFormat="false" ht="15" hidden="false" customHeight="false" outlineLevel="0" collapsed="false">
      <c r="A29" s="9"/>
      <c r="B29" s="10"/>
      <c r="C29" s="10"/>
      <c r="D29" s="10"/>
      <c r="E29" s="10"/>
      <c r="F29" s="13"/>
      <c r="G29" s="13"/>
      <c r="H29" s="11"/>
      <c r="I29" s="11"/>
      <c r="J29" s="11"/>
      <c r="K29" s="13"/>
      <c r="L29" s="11"/>
      <c r="M29" s="13"/>
      <c r="N29" s="13"/>
      <c r="O29" s="13"/>
      <c r="P29" s="13"/>
      <c r="Q29" s="12"/>
      <c r="R29" s="13"/>
      <c r="S29" s="14"/>
      <c r="T29" s="13"/>
    </row>
    <row r="30" customFormat="false" ht="15" hidden="false" customHeight="false" outlineLevel="0" collapsed="false">
      <c r="A30" s="9"/>
      <c r="B30" s="10"/>
      <c r="C30" s="10"/>
      <c r="D30" s="10"/>
      <c r="E30" s="10"/>
      <c r="F30" s="13"/>
      <c r="G30" s="13"/>
      <c r="H30" s="11"/>
      <c r="I30" s="11"/>
      <c r="J30" s="11"/>
      <c r="K30" s="13"/>
      <c r="L30" s="11"/>
      <c r="M30" s="13"/>
      <c r="N30" s="13"/>
      <c r="O30" s="13"/>
      <c r="P30" s="13"/>
      <c r="Q30" s="12"/>
      <c r="R30" s="13"/>
      <c r="S30" s="14"/>
      <c r="T30" s="13"/>
    </row>
    <row r="31" customFormat="false" ht="15" hidden="false" customHeight="false" outlineLevel="0" collapsed="false">
      <c r="A31" s="9"/>
      <c r="B31" s="10"/>
      <c r="C31" s="10"/>
      <c r="D31" s="10"/>
      <c r="E31" s="10"/>
      <c r="F31" s="13"/>
      <c r="G31" s="13"/>
      <c r="H31" s="11"/>
      <c r="I31" s="11"/>
      <c r="J31" s="11"/>
      <c r="K31" s="13"/>
      <c r="L31" s="11"/>
      <c r="M31" s="13"/>
      <c r="N31" s="13"/>
      <c r="O31" s="13"/>
      <c r="P31" s="13"/>
      <c r="Q31" s="12"/>
      <c r="R31" s="13"/>
      <c r="S31" s="14"/>
      <c r="T31" s="13"/>
    </row>
    <row r="32" customFormat="false" ht="15" hidden="false" customHeight="false" outlineLevel="0" collapsed="false">
      <c r="A32" s="9"/>
      <c r="B32" s="10"/>
      <c r="C32" s="10"/>
      <c r="D32" s="10"/>
      <c r="E32" s="10"/>
      <c r="F32" s="13"/>
      <c r="G32" s="13"/>
      <c r="H32" s="11"/>
      <c r="I32" s="11"/>
      <c r="J32" s="11"/>
      <c r="K32" s="13"/>
      <c r="L32" s="11"/>
      <c r="M32" s="13"/>
      <c r="N32" s="13"/>
      <c r="O32" s="13"/>
      <c r="P32" s="13"/>
      <c r="Q32" s="12"/>
      <c r="R32" s="13"/>
      <c r="S32" s="14"/>
      <c r="T32" s="13"/>
    </row>
    <row r="33" customFormat="false" ht="15" hidden="false" customHeight="false" outlineLevel="0" collapsed="false">
      <c r="A33" s="9"/>
      <c r="B33" s="10"/>
      <c r="C33" s="10"/>
      <c r="D33" s="10"/>
      <c r="E33" s="10"/>
      <c r="F33" s="13"/>
      <c r="G33" s="13"/>
      <c r="H33" s="11"/>
      <c r="I33" s="11"/>
      <c r="J33" s="11"/>
      <c r="K33" s="13"/>
      <c r="L33" s="11"/>
      <c r="M33" s="13"/>
      <c r="N33" s="13"/>
      <c r="O33" s="13"/>
      <c r="P33" s="13"/>
      <c r="Q33" s="12"/>
      <c r="R33" s="13"/>
      <c r="S33" s="14"/>
      <c r="T33" s="13"/>
    </row>
    <row r="34" customFormat="false" ht="15" hidden="false" customHeight="false" outlineLevel="0" collapsed="false">
      <c r="A34" s="9"/>
      <c r="B34" s="10"/>
      <c r="C34" s="10"/>
      <c r="D34" s="10"/>
      <c r="E34" s="10"/>
      <c r="F34" s="13"/>
      <c r="G34" s="13"/>
      <c r="H34" s="11"/>
      <c r="I34" s="11"/>
      <c r="J34" s="11"/>
      <c r="K34" s="13"/>
      <c r="L34" s="11"/>
      <c r="M34" s="13"/>
      <c r="N34" s="13"/>
      <c r="O34" s="13"/>
      <c r="P34" s="13"/>
      <c r="Q34" s="12"/>
      <c r="R34" s="13"/>
      <c r="S34" s="14"/>
      <c r="T34" s="13"/>
    </row>
    <row r="35" customFormat="false" ht="15" hidden="false" customHeight="false" outlineLevel="0" collapsed="false">
      <c r="A35" s="9"/>
      <c r="B35" s="10"/>
      <c r="C35" s="10"/>
      <c r="D35" s="10"/>
      <c r="E35" s="10"/>
      <c r="F35" s="13"/>
      <c r="G35" s="13"/>
      <c r="H35" s="11"/>
      <c r="I35" s="11"/>
      <c r="J35" s="11"/>
      <c r="K35" s="13"/>
      <c r="L35" s="11"/>
      <c r="M35" s="13"/>
      <c r="N35" s="13"/>
      <c r="O35" s="13"/>
      <c r="P35" s="13"/>
      <c r="Q35" s="12"/>
      <c r="R35" s="13"/>
      <c r="S35" s="14"/>
      <c r="T35" s="1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4" width="15.14"/>
    <col collapsed="false" customWidth="true" hidden="false" outlineLevel="0" max="4" min="3" style="4" width="24.57"/>
    <col collapsed="false" customWidth="true" hidden="false" outlineLevel="0" max="5" min="5" style="4" width="12.86"/>
    <col collapsed="false" customWidth="true" hidden="false" outlineLevel="0" max="7" min="6" style="4" width="32"/>
    <col collapsed="false" customWidth="true" hidden="false" outlineLevel="0" max="8" min="8" style="4" width="59.71"/>
    <col collapsed="false" customWidth="true" hidden="false" outlineLevel="0" max="9" min="9" style="4" width="25.04"/>
    <col collapsed="false" customWidth="true" hidden="false" outlineLevel="0" max="10" min="10" style="4" width="20.73"/>
  </cols>
  <sheetData>
    <row r="1" customFormat="false" ht="39" hidden="false" customHeight="true" outlineLevel="0" collapsed="false">
      <c r="A1" s="65" t="s">
        <v>714</v>
      </c>
      <c r="B1" s="65" t="s">
        <v>715</v>
      </c>
      <c r="C1" s="66" t="s">
        <v>716</v>
      </c>
      <c r="D1" s="66" t="s">
        <v>717</v>
      </c>
      <c r="E1" s="35" t="s">
        <v>718</v>
      </c>
      <c r="F1" s="35" t="s">
        <v>719</v>
      </c>
      <c r="G1" s="35" t="s">
        <v>720</v>
      </c>
      <c r="H1" s="35" t="s">
        <v>721</v>
      </c>
      <c r="I1" s="4" t="s">
        <v>722</v>
      </c>
      <c r="J1" s="4" t="s">
        <v>723</v>
      </c>
    </row>
    <row r="2" customFormat="false" ht="15" hidden="false" customHeight="false" outlineLevel="0" collapsed="false">
      <c r="A2" s="67" t="n">
        <v>3661</v>
      </c>
      <c r="B2" s="67" t="n">
        <v>2022</v>
      </c>
      <c r="C2" s="18" t="n">
        <v>1292.41</v>
      </c>
      <c r="D2" s="68" t="n">
        <v>45658</v>
      </c>
      <c r="E2" s="69" t="e">
        <f aca="false">C2+C1</f>
        <v>#VALUE!</v>
      </c>
      <c r="F2" s="4" t="s">
        <v>724</v>
      </c>
      <c r="G2" s="4" t="s">
        <v>725</v>
      </c>
      <c r="H2" s="4" t="s">
        <v>726</v>
      </c>
      <c r="I2" s="1" t="s">
        <v>727</v>
      </c>
      <c r="J2" s="4" t="s">
        <v>728</v>
      </c>
    </row>
    <row r="3" customFormat="false" ht="15" hidden="false" customHeight="false" outlineLevel="0" collapsed="false">
      <c r="A3" s="67" t="n">
        <v>3269</v>
      </c>
      <c r="B3" s="67" t="n">
        <v>2023</v>
      </c>
      <c r="C3" s="18" t="n">
        <v>1235.29</v>
      </c>
      <c r="D3" s="68" t="n">
        <v>45658</v>
      </c>
      <c r="F3" s="4" t="s">
        <v>729</v>
      </c>
      <c r="G3" s="4" t="s">
        <v>725</v>
      </c>
      <c r="H3" s="4" t="s">
        <v>730</v>
      </c>
      <c r="I3" s="1" t="s">
        <v>727</v>
      </c>
      <c r="J3" s="4" t="s">
        <v>728</v>
      </c>
    </row>
    <row r="4" customFormat="false" ht="15" hidden="false" customHeight="false" outlineLevel="0" collapsed="false">
      <c r="A4" s="67" t="n">
        <v>1391</v>
      </c>
      <c r="B4" s="67" t="n">
        <v>2023</v>
      </c>
      <c r="C4" s="18" t="n">
        <v>1246.59</v>
      </c>
      <c r="D4" s="68" t="n">
        <v>45689</v>
      </c>
      <c r="F4" s="4" t="s">
        <v>731</v>
      </c>
      <c r="G4" s="4" t="s">
        <v>725</v>
      </c>
      <c r="H4" s="4" t="s">
        <v>732</v>
      </c>
      <c r="I4" s="1" t="s">
        <v>727</v>
      </c>
      <c r="J4" s="4" t="s">
        <v>733</v>
      </c>
    </row>
    <row r="5" customFormat="false" ht="15" hidden="false" customHeight="false" outlineLevel="0" collapsed="false">
      <c r="A5" s="67" t="n">
        <v>1418</v>
      </c>
      <c r="B5" s="67" t="n">
        <v>2023</v>
      </c>
      <c r="C5" s="18" t="n">
        <v>1213.76</v>
      </c>
      <c r="D5" s="68" t="n">
        <v>45689</v>
      </c>
      <c r="E5" s="69" t="n">
        <f aca="false">C5+C4</f>
        <v>2460.35</v>
      </c>
      <c r="F5" s="4" t="s">
        <v>734</v>
      </c>
      <c r="G5" s="4" t="s">
        <v>725</v>
      </c>
      <c r="H5" s="4" t="s">
        <v>735</v>
      </c>
      <c r="I5" s="1" t="s">
        <v>727</v>
      </c>
      <c r="J5" s="4" t="s">
        <v>733</v>
      </c>
    </row>
    <row r="6" customFormat="false" ht="15" hidden="false" customHeight="false" outlineLevel="0" collapsed="false">
      <c r="A6" s="67" t="n">
        <v>3666</v>
      </c>
      <c r="B6" s="67" t="n">
        <v>2022</v>
      </c>
      <c r="C6" s="18" t="n">
        <v>1281.37</v>
      </c>
      <c r="D6" s="68" t="n">
        <v>45717</v>
      </c>
      <c r="F6" s="4" t="s">
        <v>736</v>
      </c>
      <c r="G6" s="4" t="s">
        <v>725</v>
      </c>
      <c r="H6" s="4" t="s">
        <v>737</v>
      </c>
      <c r="I6" s="1" t="s">
        <v>727</v>
      </c>
      <c r="J6" s="4" t="s">
        <v>738</v>
      </c>
    </row>
    <row r="7" customFormat="false" ht="15" hidden="false" customHeight="false" outlineLevel="0" collapsed="false">
      <c r="A7" s="67" t="n">
        <v>99</v>
      </c>
      <c r="B7" s="67" t="n">
        <v>2023</v>
      </c>
      <c r="C7" s="18" t="n">
        <v>1225.15</v>
      </c>
      <c r="D7" s="68" t="n">
        <v>45717</v>
      </c>
      <c r="F7" s="4" t="s">
        <v>739</v>
      </c>
      <c r="G7" s="4" t="s">
        <v>725</v>
      </c>
      <c r="H7" s="4" t="s">
        <v>740</v>
      </c>
      <c r="I7" s="1" t="s">
        <v>727</v>
      </c>
      <c r="J7" s="4" t="s">
        <v>738</v>
      </c>
    </row>
    <row r="8" customFormat="false" ht="15" hidden="false" customHeight="false" outlineLevel="0" collapsed="false">
      <c r="A8" s="67" t="n">
        <v>1417</v>
      </c>
      <c r="B8" s="67" t="n">
        <v>2023</v>
      </c>
      <c r="C8" s="18" t="n">
        <v>1213.76</v>
      </c>
      <c r="D8" s="68" t="n">
        <v>45748</v>
      </c>
      <c r="F8" s="4" t="s">
        <v>741</v>
      </c>
      <c r="G8" s="4" t="s">
        <v>725</v>
      </c>
      <c r="H8" s="4" t="s">
        <v>742</v>
      </c>
      <c r="I8" s="1" t="s">
        <v>727</v>
      </c>
      <c r="J8" s="4" t="s">
        <v>743</v>
      </c>
    </row>
    <row r="9" customFormat="false" ht="15" hidden="false" customHeight="false" outlineLevel="0" collapsed="false">
      <c r="A9" s="67" t="n">
        <v>1420</v>
      </c>
      <c r="B9" s="67" t="n">
        <v>2023</v>
      </c>
      <c r="C9" s="18" t="n">
        <v>1249.47</v>
      </c>
      <c r="D9" s="68" t="n">
        <v>45748</v>
      </c>
      <c r="F9" s="4" t="s">
        <v>744</v>
      </c>
      <c r="G9" s="4" t="s">
        <v>725</v>
      </c>
      <c r="H9" s="4" t="s">
        <v>745</v>
      </c>
      <c r="I9" s="1" t="s">
        <v>727</v>
      </c>
      <c r="J9" s="4" t="s">
        <v>743</v>
      </c>
    </row>
    <row r="10" customFormat="false" ht="15" hidden="false" customHeight="false" outlineLevel="0" collapsed="false">
      <c r="A10" s="67" t="n">
        <v>100</v>
      </c>
      <c r="B10" s="67" t="n">
        <v>2023</v>
      </c>
      <c r="C10" s="18" t="n">
        <v>1225.15</v>
      </c>
      <c r="D10" s="68" t="n">
        <v>45778</v>
      </c>
      <c r="F10" s="4" t="s">
        <v>746</v>
      </c>
      <c r="G10" s="4" t="s">
        <v>725</v>
      </c>
      <c r="H10" s="4" t="s">
        <v>747</v>
      </c>
      <c r="I10" s="1" t="s">
        <v>727</v>
      </c>
      <c r="J10" s="4" t="s">
        <v>748</v>
      </c>
    </row>
    <row r="11" s="72" customFormat="true" ht="15" hidden="false" customHeight="false" outlineLevel="0" collapsed="false">
      <c r="A11" s="70" t="n">
        <v>106</v>
      </c>
      <c r="B11" s="70" t="n">
        <v>2023</v>
      </c>
      <c r="C11" s="50" t="n">
        <v>1252.2</v>
      </c>
      <c r="D11" s="71" t="n">
        <v>45778</v>
      </c>
      <c r="F11" s="72" t="s">
        <v>749</v>
      </c>
      <c r="G11" s="72" t="s">
        <v>725</v>
      </c>
      <c r="H11" s="72" t="s">
        <v>750</v>
      </c>
      <c r="I11" s="73" t="s">
        <v>727</v>
      </c>
      <c r="J11" s="72" t="s">
        <v>748</v>
      </c>
    </row>
    <row r="12" customFormat="false" ht="15" hidden="false" customHeight="false" outlineLevel="0" collapsed="false">
      <c r="A12" s="67" t="n">
        <v>1421</v>
      </c>
      <c r="B12" s="67" t="n">
        <v>2023</v>
      </c>
      <c r="C12" s="18" t="n">
        <v>1262.34</v>
      </c>
      <c r="D12" s="68" t="n">
        <v>45809</v>
      </c>
      <c r="F12" s="4" t="s">
        <v>751</v>
      </c>
      <c r="G12" s="4" t="s">
        <v>725</v>
      </c>
      <c r="H12" s="4" t="s">
        <v>752</v>
      </c>
    </row>
    <row r="13" customFormat="false" ht="15" hidden="false" customHeight="false" outlineLevel="0" collapsed="false">
      <c r="A13" s="67" t="n">
        <v>1423</v>
      </c>
      <c r="B13" s="67" t="n">
        <v>2023</v>
      </c>
      <c r="C13" s="18" t="n">
        <v>1257.4</v>
      </c>
      <c r="D13" s="68" t="n">
        <v>45809</v>
      </c>
      <c r="F13" s="4" t="s">
        <v>753</v>
      </c>
      <c r="G13" s="4" t="s">
        <v>725</v>
      </c>
      <c r="H13" s="4" t="s">
        <v>754</v>
      </c>
    </row>
    <row r="14" customFormat="false" ht="15" hidden="false" customHeight="false" outlineLevel="0" collapsed="false">
      <c r="A14" s="67" t="n">
        <v>3077</v>
      </c>
      <c r="B14" s="67" t="n">
        <v>2022</v>
      </c>
      <c r="C14" s="18" t="n">
        <v>1302.79</v>
      </c>
      <c r="D14" s="68" t="n">
        <v>45839</v>
      </c>
      <c r="F14" s="4" t="s">
        <v>755</v>
      </c>
      <c r="G14" s="4" t="s">
        <v>725</v>
      </c>
      <c r="H14" s="4" t="s">
        <v>756</v>
      </c>
    </row>
    <row r="15" customFormat="false" ht="15" hidden="false" customHeight="false" outlineLevel="0" collapsed="false">
      <c r="A15" s="67" t="n">
        <v>1446</v>
      </c>
      <c r="B15" s="67" t="n">
        <v>2023</v>
      </c>
      <c r="C15" s="18" t="n">
        <v>1205.19</v>
      </c>
      <c r="D15" s="68" t="n">
        <v>45839</v>
      </c>
      <c r="F15" s="4" t="s">
        <v>757</v>
      </c>
      <c r="G15" s="4" t="s">
        <v>725</v>
      </c>
      <c r="H15" s="4" t="s">
        <v>758</v>
      </c>
    </row>
    <row r="16" customFormat="false" ht="15" hidden="false" customHeight="false" outlineLevel="0" collapsed="false">
      <c r="A16" s="67" t="n">
        <v>98</v>
      </c>
      <c r="B16" s="67" t="n">
        <v>2023</v>
      </c>
      <c r="C16" s="18" t="n">
        <v>1281.37</v>
      </c>
      <c r="D16" s="68" t="n">
        <v>45870</v>
      </c>
      <c r="F16" s="4" t="s">
        <v>759</v>
      </c>
      <c r="G16" s="4" t="s">
        <v>725</v>
      </c>
      <c r="H16" s="4" t="s">
        <v>760</v>
      </c>
    </row>
    <row r="17" customFormat="false" ht="15" hidden="false" customHeight="false" outlineLevel="0" collapsed="false">
      <c r="A17" s="67" t="n">
        <v>3412</v>
      </c>
      <c r="B17" s="67" t="n">
        <v>2024</v>
      </c>
      <c r="C17" s="18" t="n">
        <v>1118.97</v>
      </c>
      <c r="D17" s="68" t="n">
        <v>45870</v>
      </c>
      <c r="F17" s="4" t="s">
        <v>761</v>
      </c>
      <c r="G17" s="4" t="s">
        <v>725</v>
      </c>
      <c r="H17" s="4" t="s">
        <v>762</v>
      </c>
    </row>
    <row r="18" customFormat="false" ht="15" hidden="false" customHeight="false" outlineLevel="0" collapsed="false">
      <c r="A18" s="67" t="n">
        <v>117</v>
      </c>
      <c r="B18" s="67" t="n">
        <v>2023</v>
      </c>
      <c r="C18" s="18" t="n">
        <v>1257.4</v>
      </c>
      <c r="D18" s="68" t="n">
        <v>45901</v>
      </c>
      <c r="F18" s="4" t="s">
        <v>763</v>
      </c>
      <c r="G18" s="4" t="s">
        <v>725</v>
      </c>
      <c r="H18" s="4" t="s">
        <v>764</v>
      </c>
    </row>
    <row r="19" customFormat="false" ht="15" hidden="false" customHeight="false" outlineLevel="0" collapsed="false">
      <c r="A19" s="67" t="n">
        <v>131</v>
      </c>
      <c r="B19" s="67" t="n">
        <v>2023</v>
      </c>
      <c r="C19" s="18" t="n">
        <v>1281.37</v>
      </c>
      <c r="D19" s="68" t="n">
        <v>45901</v>
      </c>
      <c r="F19" s="4" t="s">
        <v>765</v>
      </c>
      <c r="G19" s="4" t="s">
        <v>725</v>
      </c>
      <c r="H19" s="4" t="s">
        <v>766</v>
      </c>
    </row>
    <row r="20" customFormat="false" ht="15" hidden="false" customHeight="false" outlineLevel="0" collapsed="false">
      <c r="A20" s="67" t="n">
        <v>118</v>
      </c>
      <c r="B20" s="67" t="n">
        <v>2023</v>
      </c>
      <c r="C20" s="18" t="n">
        <v>1257.4</v>
      </c>
      <c r="D20" s="68" t="n">
        <v>45931</v>
      </c>
      <c r="F20" s="4" t="s">
        <v>767</v>
      </c>
      <c r="G20" s="4" t="s">
        <v>725</v>
      </c>
      <c r="H20" s="4" t="s">
        <v>768</v>
      </c>
    </row>
    <row r="21" customFormat="false" ht="15" hidden="false" customHeight="false" outlineLevel="0" collapsed="false">
      <c r="A21" s="67" t="n">
        <v>120</v>
      </c>
      <c r="B21" s="67" t="n">
        <v>2023</v>
      </c>
      <c r="C21" s="18" t="n">
        <v>1281.37</v>
      </c>
      <c r="D21" s="68" t="n">
        <v>45931</v>
      </c>
      <c r="F21" s="4" t="s">
        <v>769</v>
      </c>
      <c r="G21" s="4" t="s">
        <v>725</v>
      </c>
      <c r="H21" s="4" t="s">
        <v>770</v>
      </c>
    </row>
    <row r="22" customFormat="false" ht="15" hidden="false" customHeight="false" outlineLevel="0" collapsed="false">
      <c r="A22" s="67" t="n">
        <v>107</v>
      </c>
      <c r="B22" s="67" t="n">
        <v>2023</v>
      </c>
      <c r="C22" s="18" t="n">
        <v>1281.37</v>
      </c>
      <c r="D22" s="68" t="n">
        <v>45962</v>
      </c>
      <c r="F22" s="4" t="s">
        <v>771</v>
      </c>
      <c r="G22" s="4" t="s">
        <v>725</v>
      </c>
      <c r="H22" s="4" t="s">
        <v>772</v>
      </c>
    </row>
    <row r="23" customFormat="false" ht="15" hidden="false" customHeight="false" outlineLevel="0" collapsed="false">
      <c r="A23" s="67" t="n">
        <v>130</v>
      </c>
      <c r="B23" s="67" t="n">
        <v>2023</v>
      </c>
      <c r="C23" s="18" t="n">
        <v>1284.97</v>
      </c>
      <c r="D23" s="68" t="n">
        <v>45962</v>
      </c>
      <c r="F23" s="4" t="s">
        <v>773</v>
      </c>
      <c r="G23" s="4" t="s">
        <v>774</v>
      </c>
      <c r="H23" s="4" t="s">
        <v>775</v>
      </c>
    </row>
    <row r="24" customFormat="false" ht="15" hidden="false" customHeight="false" outlineLevel="0" collapsed="false">
      <c r="A24" s="67" t="n">
        <v>103</v>
      </c>
      <c r="B24" s="67" t="n">
        <v>2023</v>
      </c>
      <c r="C24" s="18" t="n">
        <v>1281.37</v>
      </c>
      <c r="D24" s="68" t="n">
        <v>45992</v>
      </c>
      <c r="F24" s="4" t="s">
        <v>776</v>
      </c>
      <c r="G24" s="4" t="s">
        <v>725</v>
      </c>
      <c r="H24" s="4" t="s">
        <v>777</v>
      </c>
    </row>
    <row r="25" customFormat="false" ht="15" hidden="false" customHeight="false" outlineLevel="0" collapsed="false">
      <c r="A25" s="67" t="n">
        <v>416</v>
      </c>
      <c r="B25" s="67" t="n">
        <v>2024</v>
      </c>
      <c r="C25" s="18" t="n">
        <v>1112.82</v>
      </c>
      <c r="D25" s="68" t="n">
        <v>45992</v>
      </c>
      <c r="F25" s="4" t="s">
        <v>778</v>
      </c>
      <c r="G25" s="4" t="s">
        <v>725</v>
      </c>
      <c r="H25" s="4" t="s">
        <v>779</v>
      </c>
    </row>
    <row r="26" customFormat="false" ht="15" hidden="false" customHeight="false" outlineLevel="0" collapsed="false">
      <c r="A26" s="67" t="n">
        <v>92</v>
      </c>
      <c r="B26" s="67" t="n">
        <v>2023</v>
      </c>
      <c r="C26" s="18" t="n">
        <v>1243.61</v>
      </c>
      <c r="D26" s="68" t="n">
        <v>46023</v>
      </c>
      <c r="F26" s="4" t="s">
        <v>780</v>
      </c>
      <c r="G26" s="4" t="s">
        <v>725</v>
      </c>
      <c r="H26" s="4" t="s">
        <v>781</v>
      </c>
    </row>
    <row r="27" customFormat="false" ht="15" hidden="false" customHeight="false" outlineLevel="0" collapsed="false">
      <c r="A27" s="67" t="n">
        <v>116</v>
      </c>
      <c r="B27" s="67" t="n">
        <v>2023</v>
      </c>
      <c r="C27" s="18" t="n">
        <v>1257.4</v>
      </c>
      <c r="D27" s="68" t="n">
        <v>46023</v>
      </c>
      <c r="F27" s="4" t="s">
        <v>782</v>
      </c>
      <c r="G27" s="4" t="s">
        <v>725</v>
      </c>
      <c r="H27" s="4" t="s">
        <v>783</v>
      </c>
    </row>
    <row r="28" customFormat="false" ht="15" hidden="false" customHeight="false" outlineLevel="0" collapsed="false">
      <c r="A28" s="67" t="n">
        <v>93</v>
      </c>
      <c r="B28" s="67" t="n">
        <v>2023</v>
      </c>
      <c r="C28" s="18" t="n">
        <v>1281.37</v>
      </c>
      <c r="D28" s="68" t="n">
        <v>46054</v>
      </c>
      <c r="F28" s="4" t="s">
        <v>784</v>
      </c>
      <c r="G28" s="4" t="s">
        <v>725</v>
      </c>
      <c r="H28" s="4" t="s">
        <v>785</v>
      </c>
    </row>
    <row r="29" customFormat="false" ht="15" hidden="false" customHeight="false" outlineLevel="0" collapsed="false">
      <c r="A29" s="67" t="n">
        <v>105</v>
      </c>
      <c r="B29" s="67" t="n">
        <v>2023</v>
      </c>
      <c r="C29" s="18" t="n">
        <v>1281.37</v>
      </c>
      <c r="D29" s="68" t="n">
        <v>46054</v>
      </c>
      <c r="F29" s="4" t="s">
        <v>786</v>
      </c>
      <c r="G29" s="4" t="s">
        <v>725</v>
      </c>
      <c r="H29" s="4" t="s">
        <v>787</v>
      </c>
    </row>
    <row r="30" customFormat="false" ht="15" hidden="false" customHeight="false" outlineLevel="0" collapsed="false">
      <c r="A30" s="67" t="n">
        <v>3065</v>
      </c>
      <c r="B30" s="67" t="n">
        <v>2022</v>
      </c>
      <c r="C30" s="18" t="n">
        <v>1315.17</v>
      </c>
      <c r="D30" s="68" t="n">
        <v>46082</v>
      </c>
      <c r="F30" s="4" t="s">
        <v>788</v>
      </c>
      <c r="G30" s="4" t="s">
        <v>725</v>
      </c>
      <c r="H30" s="4" t="s">
        <v>789</v>
      </c>
    </row>
    <row r="31" customFormat="false" ht="15" hidden="false" customHeight="false" outlineLevel="0" collapsed="false">
      <c r="A31" s="67" t="n">
        <v>3079</v>
      </c>
      <c r="B31" s="67" t="n">
        <v>2022</v>
      </c>
      <c r="C31" s="18" t="n">
        <v>1302.79</v>
      </c>
      <c r="D31" s="68" t="n">
        <v>46082</v>
      </c>
      <c r="F31" s="4" t="s">
        <v>790</v>
      </c>
      <c r="G31" s="4" t="s">
        <v>725</v>
      </c>
      <c r="H31" s="4" t="s">
        <v>791</v>
      </c>
    </row>
    <row r="32" customFormat="false" ht="15" hidden="false" customHeight="false" outlineLevel="0" collapsed="false">
      <c r="A32" s="67" t="n">
        <v>3080</v>
      </c>
      <c r="B32" s="67" t="n">
        <v>2022</v>
      </c>
      <c r="C32" s="18" t="n">
        <v>1304.69</v>
      </c>
      <c r="D32" s="68" t="n">
        <v>46113</v>
      </c>
      <c r="F32" s="4" t="s">
        <v>792</v>
      </c>
      <c r="G32" s="4" t="s">
        <v>725</v>
      </c>
      <c r="H32" s="4" t="s">
        <v>793</v>
      </c>
    </row>
    <row r="33" customFormat="false" ht="15" hidden="false" customHeight="false" outlineLevel="0" collapsed="false">
      <c r="A33" s="67" t="n">
        <v>3648</v>
      </c>
      <c r="B33" s="67" t="n">
        <v>2022</v>
      </c>
      <c r="C33" s="18" t="n">
        <v>1315.17</v>
      </c>
      <c r="D33" s="68" t="n">
        <v>46113</v>
      </c>
      <c r="F33" s="4" t="s">
        <v>794</v>
      </c>
      <c r="G33" s="4" t="s">
        <v>725</v>
      </c>
      <c r="H33" s="4" t="s">
        <v>795</v>
      </c>
    </row>
    <row r="34" customFormat="false" ht="15" hidden="false" customHeight="false" outlineLevel="0" collapsed="false">
      <c r="A34" s="67" t="n">
        <v>94</v>
      </c>
      <c r="B34" s="67" t="n">
        <v>2023</v>
      </c>
      <c r="C34" s="18" t="n">
        <v>1281.37</v>
      </c>
      <c r="D34" s="68" t="n">
        <v>46143</v>
      </c>
      <c r="F34" s="4" t="s">
        <v>796</v>
      </c>
      <c r="G34" s="4" t="s">
        <v>725</v>
      </c>
      <c r="H34" s="4" t="s">
        <v>797</v>
      </c>
    </row>
    <row r="35" customFormat="false" ht="15" hidden="false" customHeight="false" outlineLevel="0" collapsed="false">
      <c r="A35" s="67" t="n">
        <v>96</v>
      </c>
      <c r="B35" s="67" t="n">
        <v>2023</v>
      </c>
      <c r="C35" s="18" t="n">
        <v>1293.55</v>
      </c>
      <c r="D35" s="68" t="n">
        <v>46143</v>
      </c>
      <c r="F35" s="4" t="s">
        <v>798</v>
      </c>
      <c r="G35" s="4" t="s">
        <v>725</v>
      </c>
      <c r="H35" s="4" t="s">
        <v>799</v>
      </c>
    </row>
    <row r="36" customFormat="false" ht="15" hidden="false" customHeight="false" outlineLevel="0" collapsed="false">
      <c r="A36" s="67" t="n">
        <v>146</v>
      </c>
      <c r="B36" s="67" t="n">
        <v>2023</v>
      </c>
      <c r="C36" s="18" t="n">
        <v>1213.76</v>
      </c>
      <c r="D36" s="68" t="n">
        <v>46174</v>
      </c>
      <c r="F36" s="4" t="s">
        <v>800</v>
      </c>
      <c r="G36" s="4" t="s">
        <v>725</v>
      </c>
      <c r="H36" s="4" t="s">
        <v>801</v>
      </c>
    </row>
    <row r="37" customFormat="false" ht="15" hidden="false" customHeight="false" outlineLevel="0" collapsed="false">
      <c r="A37" s="67" t="n">
        <v>155</v>
      </c>
      <c r="B37" s="67" t="n">
        <v>2023</v>
      </c>
      <c r="C37" s="18" t="n">
        <v>1281.37</v>
      </c>
      <c r="D37" s="68" t="n">
        <v>46174</v>
      </c>
      <c r="F37" s="4" t="s">
        <v>802</v>
      </c>
      <c r="G37" s="4" t="s">
        <v>725</v>
      </c>
      <c r="H37" s="4" t="s">
        <v>803</v>
      </c>
    </row>
    <row r="38" customFormat="false" ht="15" hidden="false" customHeight="false" outlineLevel="0" collapsed="false">
      <c r="A38" s="67" t="n">
        <v>3066</v>
      </c>
      <c r="B38" s="67" t="n">
        <v>2022</v>
      </c>
      <c r="C38" s="18" t="n">
        <v>1262.34</v>
      </c>
      <c r="D38" s="68" t="n">
        <v>46204</v>
      </c>
      <c r="F38" s="4" t="s">
        <v>804</v>
      </c>
      <c r="G38" s="4" t="s">
        <v>725</v>
      </c>
      <c r="H38" s="4" t="s">
        <v>805</v>
      </c>
    </row>
    <row r="39" customFormat="false" ht="15" hidden="false" customHeight="false" outlineLevel="0" collapsed="false">
      <c r="A39" s="67" t="n">
        <v>156</v>
      </c>
      <c r="B39" s="67" t="n">
        <v>2023</v>
      </c>
      <c r="C39" s="18" t="n">
        <v>1213.76</v>
      </c>
      <c r="D39" s="68" t="n">
        <v>46204</v>
      </c>
      <c r="F39" s="4" t="s">
        <v>806</v>
      </c>
      <c r="G39" s="4" t="s">
        <v>725</v>
      </c>
      <c r="H39" s="4" t="s">
        <v>807</v>
      </c>
    </row>
    <row r="40" customFormat="false" ht="15" hidden="false" customHeight="false" outlineLevel="0" collapsed="false">
      <c r="A40" s="67" t="n">
        <v>3067</v>
      </c>
      <c r="B40" s="67" t="n">
        <v>2022</v>
      </c>
      <c r="C40" s="18" t="n">
        <v>1262.34</v>
      </c>
      <c r="D40" s="68" t="n">
        <v>46235</v>
      </c>
      <c r="F40" s="4" t="s">
        <v>808</v>
      </c>
      <c r="G40" s="4" t="s">
        <v>725</v>
      </c>
      <c r="H40" s="4" t="s">
        <v>809</v>
      </c>
    </row>
    <row r="41" customFormat="false" ht="15" hidden="false" customHeight="false" outlineLevel="0" collapsed="false">
      <c r="A41" s="67" t="n">
        <v>3069</v>
      </c>
      <c r="B41" s="67" t="n">
        <v>2022</v>
      </c>
      <c r="C41" s="18" t="n">
        <v>1302.79</v>
      </c>
      <c r="D41" s="68" t="n">
        <v>46235</v>
      </c>
      <c r="F41" s="4" t="s">
        <v>810</v>
      </c>
      <c r="G41" s="4" t="s">
        <v>725</v>
      </c>
      <c r="H41" s="4" t="s">
        <v>811</v>
      </c>
    </row>
    <row r="42" customFormat="false" ht="15" hidden="false" customHeight="false" outlineLevel="0" collapsed="false">
      <c r="A42" s="67" t="n">
        <v>3073</v>
      </c>
      <c r="B42" s="67" t="n">
        <v>2022</v>
      </c>
      <c r="C42" s="18" t="n">
        <v>1304.69</v>
      </c>
      <c r="D42" s="68" t="n">
        <v>46266</v>
      </c>
      <c r="F42" s="4" t="s">
        <v>812</v>
      </c>
      <c r="G42" s="4" t="s">
        <v>725</v>
      </c>
      <c r="H42" s="4" t="s">
        <v>813</v>
      </c>
    </row>
    <row r="43" customFormat="false" ht="15" hidden="false" customHeight="false" outlineLevel="0" collapsed="false">
      <c r="A43" s="67" t="n">
        <v>3074</v>
      </c>
      <c r="B43" s="67" t="n">
        <v>2022</v>
      </c>
      <c r="C43" s="18" t="n">
        <v>1315.17</v>
      </c>
      <c r="D43" s="68" t="n">
        <v>46266</v>
      </c>
      <c r="F43" s="4" t="s">
        <v>814</v>
      </c>
      <c r="G43" s="4" t="s">
        <v>725</v>
      </c>
      <c r="H43" s="4" t="s">
        <v>815</v>
      </c>
    </row>
    <row r="44" customFormat="false" ht="15" hidden="false" customHeight="false" outlineLevel="0" collapsed="false">
      <c r="A44" s="67" t="n">
        <v>2718</v>
      </c>
      <c r="B44" s="67" t="n">
        <v>2022</v>
      </c>
      <c r="C44" s="18"/>
      <c r="D44" s="68"/>
      <c r="G44" s="4" t="s">
        <v>816</v>
      </c>
      <c r="H44" s="4" t="s">
        <v>817</v>
      </c>
    </row>
    <row r="45" customFormat="false" ht="24" hidden="false" customHeight="true" outlineLevel="0" collapsed="false">
      <c r="A45" s="67"/>
      <c r="B45" s="67"/>
      <c r="C45" s="74" t="n">
        <f aca="false">SUM(C2:C44)</f>
        <v>52933.99</v>
      </c>
      <c r="D45" s="7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10" activeCellId="0" sqref="D1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4" width="13.42"/>
    <col collapsed="false" customWidth="true" hidden="false" outlineLevel="0" max="2" min="2" style="4" width="13.86"/>
    <col collapsed="false" customWidth="true" hidden="false" outlineLevel="0" max="3" min="3" style="4" width="18.14"/>
    <col collapsed="false" customWidth="true" hidden="false" outlineLevel="0" max="4" min="4" style="4" width="25.57"/>
    <col collapsed="false" customWidth="true" hidden="false" outlineLevel="0" max="7" min="5" style="4" width="15.57"/>
    <col collapsed="false" customWidth="true" hidden="false" outlineLevel="0" max="26" min="8" style="4" width="12.71"/>
    <col collapsed="false" customWidth="true" hidden="false" outlineLevel="0" max="27" min="27" style="4" width="14.14"/>
  </cols>
  <sheetData>
    <row r="1" customFormat="false" ht="30" hidden="false" customHeight="true" outlineLevel="0" collapsed="false">
      <c r="A1" s="6" t="s">
        <v>0</v>
      </c>
      <c r="B1" s="6" t="s">
        <v>21</v>
      </c>
      <c r="C1" s="6" t="s">
        <v>652</v>
      </c>
      <c r="D1" s="46" t="s">
        <v>22</v>
      </c>
      <c r="E1" s="46" t="s">
        <v>653</v>
      </c>
      <c r="F1" s="6" t="s">
        <v>655</v>
      </c>
      <c r="G1" s="6" t="s">
        <v>656</v>
      </c>
      <c r="H1" s="46" t="n">
        <v>42917</v>
      </c>
      <c r="I1" s="46" t="n">
        <v>42948</v>
      </c>
      <c r="J1" s="46" t="n">
        <v>42979</v>
      </c>
      <c r="K1" s="46" t="n">
        <v>43009</v>
      </c>
      <c r="L1" s="46" t="n">
        <v>43040</v>
      </c>
      <c r="M1" s="46" t="n">
        <v>43070</v>
      </c>
      <c r="N1" s="46" t="n">
        <v>43101</v>
      </c>
      <c r="O1" s="46" t="n">
        <v>43132</v>
      </c>
      <c r="P1" s="46" t="n">
        <v>43160</v>
      </c>
      <c r="Q1" s="46" t="n">
        <v>43191</v>
      </c>
      <c r="R1" s="46" t="n">
        <v>43221</v>
      </c>
      <c r="S1" s="46" t="n">
        <v>43252</v>
      </c>
      <c r="T1" s="46" t="n">
        <v>43282</v>
      </c>
      <c r="U1" s="46" t="n">
        <v>43313</v>
      </c>
      <c r="V1" s="46" t="n">
        <v>43344</v>
      </c>
      <c r="W1" s="46" t="n">
        <v>43374</v>
      </c>
      <c r="X1" s="46" t="n">
        <v>43405</v>
      </c>
      <c r="Y1" s="46" t="n">
        <v>43435</v>
      </c>
      <c r="Z1" s="46" t="n">
        <v>43709</v>
      </c>
      <c r="AA1" s="46" t="n">
        <v>43739</v>
      </c>
      <c r="AB1" s="46" t="n">
        <v>45627</v>
      </c>
      <c r="AC1" s="46" t="n">
        <v>45658</v>
      </c>
      <c r="AD1" s="46" t="n">
        <v>45689</v>
      </c>
      <c r="AE1" s="46" t="n">
        <v>45717</v>
      </c>
      <c r="AF1" s="46" t="n">
        <v>45748</v>
      </c>
      <c r="AG1" s="46" t="n">
        <v>45778</v>
      </c>
      <c r="AH1" s="46" t="n">
        <v>45809</v>
      </c>
      <c r="AI1" s="46" t="n">
        <v>45839</v>
      </c>
      <c r="AJ1" s="46" t="n">
        <v>45870</v>
      </c>
      <c r="AK1" s="46" t="n">
        <v>45901</v>
      </c>
      <c r="AL1" s="46" t="n">
        <v>45931</v>
      </c>
      <c r="AM1" s="46" t="n">
        <v>45962</v>
      </c>
      <c r="AN1" s="46" t="n">
        <v>45992</v>
      </c>
      <c r="AO1" s="46" t="n">
        <v>46023</v>
      </c>
      <c r="AP1" s="46" t="n">
        <v>46054</v>
      </c>
      <c r="AQ1" s="46" t="n">
        <v>46082</v>
      </c>
      <c r="AR1" s="46" t="n">
        <v>46113</v>
      </c>
    </row>
    <row r="2" customFormat="false" ht="15" hidden="false" customHeight="false" outlineLevel="0" collapsed="false">
      <c r="A2" s="9" t="s">
        <v>694</v>
      </c>
      <c r="B2" s="47" t="n">
        <v>87677830404</v>
      </c>
      <c r="C2" s="9" t="n">
        <v>2</v>
      </c>
      <c r="D2" s="13"/>
      <c r="E2" s="13"/>
      <c r="F2" s="48" t="n">
        <v>512.06</v>
      </c>
      <c r="G2" s="9" t="s">
        <v>34</v>
      </c>
      <c r="H2" s="48"/>
      <c r="I2" s="48"/>
      <c r="J2" s="48"/>
      <c r="K2" s="48" t="n">
        <v>229.62</v>
      </c>
      <c r="L2" s="48" t="n">
        <v>282.44</v>
      </c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13"/>
      <c r="AH2" s="13"/>
      <c r="AI2" s="9"/>
      <c r="AJ2" s="9"/>
      <c r="AK2" s="9"/>
      <c r="AL2" s="9"/>
      <c r="AM2" s="9"/>
      <c r="AN2" s="9"/>
      <c r="AO2" s="9"/>
      <c r="AP2" s="9"/>
      <c r="AQ2" s="9"/>
      <c r="AR2" s="9"/>
      <c r="AS2" s="67"/>
    </row>
    <row r="3" customFormat="false" ht="15" hidden="false" customHeight="false" outlineLevel="0" collapsed="false">
      <c r="A3" s="9" t="s">
        <v>696</v>
      </c>
      <c r="B3" s="47" t="n">
        <v>50288890400</v>
      </c>
      <c r="C3" s="9" t="n">
        <v>2</v>
      </c>
      <c r="D3" s="13"/>
      <c r="E3" s="13"/>
      <c r="F3" s="48" t="n">
        <v>1760.02</v>
      </c>
      <c r="G3" s="9" t="s">
        <v>34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 t="n">
        <v>880.01</v>
      </c>
      <c r="AA3" s="48" t="n">
        <v>880.01</v>
      </c>
      <c r="AB3" s="48"/>
      <c r="AC3" s="48"/>
      <c r="AD3" s="48"/>
      <c r="AE3" s="48"/>
      <c r="AF3" s="48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customFormat="false" ht="15" hidden="false" customHeight="false" outlineLevel="0" collapsed="false">
      <c r="A4" s="9" t="s">
        <v>698</v>
      </c>
      <c r="B4" s="47" t="n">
        <v>59668784472</v>
      </c>
      <c r="C4" s="9" t="n">
        <v>1</v>
      </c>
      <c r="D4" s="13"/>
      <c r="E4" s="13"/>
      <c r="F4" s="48" t="n">
        <v>523.53</v>
      </c>
      <c r="G4" s="9"/>
      <c r="H4" s="48"/>
      <c r="I4" s="48" t="n">
        <v>523.53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customFormat="false" ht="15" hidden="false" customHeight="false" outlineLevel="0" collapsed="false">
      <c r="A5" s="9" t="s">
        <v>700</v>
      </c>
      <c r="B5" s="47"/>
      <c r="C5" s="9" t="n">
        <v>17</v>
      </c>
      <c r="D5" s="13"/>
      <c r="E5" s="13"/>
      <c r="F5" s="48" t="n">
        <v>6105.56</v>
      </c>
      <c r="G5" s="9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customFormat="false" ht="15" hidden="false" customHeight="false" outlineLevel="0" collapsed="false">
      <c r="A6" s="9" t="s">
        <v>701</v>
      </c>
      <c r="B6" s="47" t="n">
        <v>12977608400</v>
      </c>
      <c r="C6" s="9" t="n">
        <v>252</v>
      </c>
      <c r="D6" s="13"/>
      <c r="E6" s="13"/>
      <c r="F6" s="13"/>
      <c r="G6" s="9"/>
      <c r="H6" s="48"/>
      <c r="I6" s="48" t="n">
        <v>121.81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customFormat="false" ht="15" hidden="false" customHeight="false" outlineLevel="0" collapsed="false">
      <c r="A7" s="9" t="s">
        <v>704</v>
      </c>
      <c r="B7" s="47" t="n">
        <v>75128799468</v>
      </c>
      <c r="C7" s="9" t="n">
        <v>187</v>
      </c>
      <c r="D7" s="13" t="s">
        <v>818</v>
      </c>
      <c r="E7" s="13"/>
      <c r="F7" s="48" t="n">
        <v>188241.92</v>
      </c>
      <c r="G7" s="9"/>
      <c r="H7" s="48" t="n">
        <v>1011.87</v>
      </c>
      <c r="I7" s="48" t="n">
        <v>1011.87</v>
      </c>
      <c r="J7" s="48" t="n">
        <v>1011.87</v>
      </c>
      <c r="K7" s="48" t="n">
        <v>1006.59</v>
      </c>
      <c r="L7" s="48" t="n">
        <v>1006.59</v>
      </c>
      <c r="M7" s="48" t="n">
        <v>1006.59</v>
      </c>
      <c r="N7" s="48" t="n">
        <v>1006.59</v>
      </c>
      <c r="O7" s="48" t="n">
        <v>1006.59</v>
      </c>
      <c r="P7" s="48" t="n">
        <v>1006.59</v>
      </c>
      <c r="Q7" s="48" t="n">
        <v>1006.59</v>
      </c>
      <c r="R7" s="48" t="n">
        <v>1006.59</v>
      </c>
      <c r="S7" s="48" t="n">
        <v>1006.59</v>
      </c>
      <c r="T7" s="48" t="n">
        <v>1006.59</v>
      </c>
      <c r="U7" s="48" t="n">
        <v>1006.59</v>
      </c>
      <c r="V7" s="48" t="n">
        <v>1006.59</v>
      </c>
      <c r="W7" s="48" t="n">
        <v>1006.59</v>
      </c>
      <c r="X7" s="48" t="n">
        <v>1006.59</v>
      </c>
      <c r="Y7" s="48" t="n">
        <v>1006.59</v>
      </c>
      <c r="Z7" s="48"/>
      <c r="AA7" s="48"/>
      <c r="AB7" s="48"/>
      <c r="AC7" s="48"/>
      <c r="AD7" s="48"/>
      <c r="AE7" s="48"/>
      <c r="AF7" s="48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customFormat="false" ht="15" hidden="false" customHeight="false" outlineLevel="0" collapsed="false">
      <c r="A8" s="9" t="s">
        <v>706</v>
      </c>
      <c r="B8" s="47" t="n">
        <v>87519607453</v>
      </c>
      <c r="C8" s="9"/>
      <c r="D8" s="13"/>
      <c r="E8" s="13"/>
      <c r="F8" s="13"/>
      <c r="G8" s="9"/>
      <c r="H8" s="9"/>
      <c r="I8" s="48" t="n">
        <v>536.67</v>
      </c>
      <c r="J8" s="48" t="n">
        <v>536.67</v>
      </c>
      <c r="K8" s="48" t="n">
        <v>536.67</v>
      </c>
      <c r="L8" s="48" t="n">
        <v>536.67</v>
      </c>
      <c r="M8" s="48" t="n">
        <v>536.67</v>
      </c>
      <c r="N8" s="48" t="n">
        <v>536.67</v>
      </c>
      <c r="O8" s="48" t="n">
        <v>536.67</v>
      </c>
      <c r="P8" s="48" t="n">
        <v>536.67</v>
      </c>
      <c r="Q8" s="48" t="n">
        <v>536.67</v>
      </c>
      <c r="R8" s="48" t="n">
        <v>536.67</v>
      </c>
      <c r="S8" s="53" t="n">
        <v>473</v>
      </c>
      <c r="T8" s="9"/>
      <c r="U8" s="9"/>
      <c r="V8" s="9"/>
      <c r="W8" s="9"/>
      <c r="X8" s="9"/>
      <c r="Y8" s="9"/>
      <c r="Z8" s="48"/>
      <c r="AA8" s="48"/>
      <c r="AB8" s="48"/>
      <c r="AC8" s="48"/>
      <c r="AD8" s="48"/>
      <c r="AE8" s="48"/>
      <c r="AF8" s="48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customFormat="false" ht="15" hidden="false" customHeight="false" outlineLevel="0" collapsed="false">
      <c r="A9" s="9" t="s">
        <v>708</v>
      </c>
      <c r="B9" s="47" t="n">
        <v>63841746420</v>
      </c>
      <c r="C9" s="9" t="n">
        <v>77</v>
      </c>
      <c r="D9" s="13"/>
      <c r="E9" s="9" t="s">
        <v>33</v>
      </c>
      <c r="F9" s="48" t="n">
        <v>24689.98</v>
      </c>
      <c r="G9" s="9"/>
      <c r="H9" s="9"/>
      <c r="I9" s="48" t="n">
        <v>322.8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48"/>
      <c r="AA9" s="48"/>
      <c r="AB9" s="48"/>
      <c r="AC9" s="48"/>
      <c r="AD9" s="48"/>
      <c r="AE9" s="48"/>
      <c r="AF9" s="48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customFormat="false" ht="15" hidden="false" customHeight="false" outlineLevel="0" collapsed="false">
      <c r="A10" s="63" t="s">
        <v>711</v>
      </c>
      <c r="B10" s="47" t="n">
        <v>56565925453</v>
      </c>
      <c r="C10" s="9" t="n">
        <v>125</v>
      </c>
      <c r="D10" s="13"/>
      <c r="E10" s="13"/>
      <c r="F10" s="48" t="n">
        <v>15220.34</v>
      </c>
      <c r="G10" s="9"/>
      <c r="H10" s="9"/>
      <c r="I10" s="9"/>
      <c r="J10" s="48" t="n">
        <v>121.81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48"/>
      <c r="AA10" s="48"/>
      <c r="AB10" s="48"/>
      <c r="AC10" s="48"/>
      <c r="AD10" s="48"/>
      <c r="AE10" s="48"/>
      <c r="AF10" s="48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customFormat="false" ht="15" hidden="false" customHeight="false" outlineLevel="0" collapsed="false">
      <c r="A11" s="13"/>
      <c r="B11" s="47"/>
      <c r="C11" s="9"/>
      <c r="D11" s="13"/>
      <c r="E11" s="13"/>
      <c r="F11" s="13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48"/>
      <c r="AA11" s="48"/>
      <c r="AB11" s="48"/>
      <c r="AC11" s="48"/>
      <c r="AD11" s="48"/>
      <c r="AE11" s="48"/>
      <c r="AF11" s="48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customFormat="false" ht="15" hidden="false" customHeight="false" outlineLevel="0" collapsed="false">
      <c r="A12" s="13"/>
      <c r="B12" s="47"/>
      <c r="C12" s="9"/>
      <c r="D12" s="13"/>
      <c r="E12" s="13"/>
      <c r="F12" s="13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48"/>
      <c r="AA12" s="48"/>
      <c r="AB12" s="48"/>
      <c r="AC12" s="48"/>
      <c r="AD12" s="48"/>
      <c r="AE12" s="48"/>
      <c r="AF12" s="48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customFormat="false" ht="15" hidden="false" customHeight="false" outlineLevel="0" collapsed="false">
      <c r="A13" s="13"/>
      <c r="B13" s="47"/>
      <c r="C13" s="9"/>
      <c r="D13" s="13"/>
      <c r="E13" s="13"/>
      <c r="F13" s="13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customFormat="false" ht="15" hidden="false" customHeight="false" outlineLevel="0" collapsed="false">
      <c r="A14" s="13"/>
      <c r="B14" s="47"/>
      <c r="C14" s="9"/>
      <c r="D14" s="13"/>
      <c r="E14" s="13"/>
      <c r="F14" s="13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customFormat="false" ht="15" hidden="false" customHeight="false" outlineLevel="0" collapsed="false">
      <c r="A15" s="13"/>
      <c r="B15" s="47"/>
      <c r="C15" s="9"/>
      <c r="D15" s="13"/>
      <c r="E15" s="13"/>
      <c r="F15" s="1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customFormat="false" ht="15" hidden="false" customHeight="false" outlineLevel="0" collapsed="false">
      <c r="A16" s="13"/>
      <c r="B16" s="47"/>
      <c r="C16" s="9"/>
      <c r="D16" s="13"/>
      <c r="E16" s="13"/>
      <c r="F16" s="13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customFormat="false" ht="15" hidden="false" customHeight="false" outlineLevel="0" collapsed="false">
      <c r="A17" s="13"/>
      <c r="B17" s="47"/>
      <c r="C17" s="9"/>
      <c r="D17" s="13"/>
      <c r="E17" s="13"/>
      <c r="F17" s="13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customFormat="false" ht="15" hidden="false" customHeight="false" outlineLevel="0" collapsed="false">
      <c r="A18" s="13"/>
      <c r="B18" s="47"/>
      <c r="C18" s="9"/>
      <c r="D18" s="13"/>
      <c r="E18" s="13"/>
      <c r="F18" s="13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customFormat="false" ht="15" hidden="false" customHeight="false" outlineLevel="0" collapsed="false">
      <c r="A19" s="13"/>
      <c r="B19" s="47"/>
      <c r="C19" s="9"/>
      <c r="D19" s="13"/>
      <c r="E19" s="13"/>
      <c r="F19" s="13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customFormat="false" ht="15" hidden="false" customHeight="false" outlineLevel="0" collapsed="false">
      <c r="A20" s="13"/>
      <c r="B20" s="47"/>
      <c r="C20" s="9"/>
      <c r="D20" s="13"/>
      <c r="E20" s="13"/>
      <c r="F20" s="1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customFormat="false" ht="15" hidden="false" customHeight="false" outlineLevel="0" collapsed="false">
      <c r="A21" s="13"/>
      <c r="B21" s="47"/>
      <c r="C21" s="9"/>
      <c r="D21" s="13"/>
      <c r="E21" s="13"/>
      <c r="F21" s="13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customFormat="false" ht="15" hidden="false" customHeight="false" outlineLevel="0" collapsed="false">
      <c r="A22" s="13"/>
      <c r="B22" s="47"/>
      <c r="C22" s="9"/>
      <c r="D22" s="13"/>
      <c r="E22" s="13"/>
      <c r="F22" s="13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customFormat="false" ht="15" hidden="false" customHeight="false" outlineLevel="0" collapsed="false">
      <c r="A23" s="13"/>
      <c r="B23" s="47"/>
      <c r="C23" s="9"/>
      <c r="D23" s="13"/>
      <c r="E23" s="13"/>
      <c r="F23" s="1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customFormat="false" ht="15" hidden="false" customHeight="false" outlineLevel="0" collapsed="false">
      <c r="A24" s="13"/>
      <c r="B24" s="47"/>
      <c r="C24" s="9"/>
      <c r="D24" s="13"/>
      <c r="E24" s="13"/>
      <c r="F24" s="13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customFormat="false" ht="15" hidden="false" customHeight="false" outlineLevel="0" collapsed="false">
      <c r="A25" s="13"/>
      <c r="B25" s="47"/>
      <c r="C25" s="9"/>
      <c r="D25" s="13"/>
      <c r="E25" s="13"/>
      <c r="F25" s="13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customFormat="false" ht="15" hidden="false" customHeight="false" outlineLevel="0" collapsed="false">
      <c r="A26" s="13"/>
      <c r="B26" s="47"/>
      <c r="C26" s="9"/>
      <c r="D26" s="13"/>
      <c r="E26" s="13"/>
      <c r="F26" s="1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customFormat="false" ht="15" hidden="false" customHeight="false" outlineLevel="0" collapsed="false">
      <c r="A27" s="13"/>
      <c r="B27" s="47"/>
      <c r="C27" s="9"/>
      <c r="D27" s="13"/>
      <c r="E27" s="13"/>
      <c r="F27" s="13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customFormat="false" ht="15" hidden="false" customHeight="false" outlineLevel="0" collapsed="false">
      <c r="A28" s="13"/>
      <c r="B28" s="47"/>
      <c r="C28" s="9"/>
      <c r="D28" s="13"/>
      <c r="E28" s="13"/>
      <c r="F28" s="13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customFormat="false" ht="15" hidden="false" customHeight="false" outlineLevel="0" collapsed="false">
      <c r="A29" s="13"/>
      <c r="B29" s="47"/>
      <c r="C29" s="9"/>
      <c r="D29" s="13"/>
      <c r="E29" s="13"/>
      <c r="F29" s="13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customFormat="false" ht="15" hidden="false" customHeight="false" outlineLevel="0" collapsed="false">
      <c r="A30" s="13"/>
      <c r="B30" s="47"/>
      <c r="C30" s="9"/>
      <c r="D30" s="13"/>
      <c r="E30" s="13"/>
      <c r="F30" s="13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 customFormat="false" ht="15" hidden="false" customHeight="false" outlineLevel="0" collapsed="false">
      <c r="A31" s="13"/>
      <c r="B31" s="47"/>
      <c r="C31" s="9"/>
      <c r="D31" s="13"/>
      <c r="E31" s="13"/>
      <c r="F31" s="13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customFormat="false" ht="15" hidden="false" customHeight="false" outlineLevel="0" collapsed="false">
      <c r="A32" s="13"/>
      <c r="B32" s="47"/>
      <c r="C32" s="9"/>
      <c r="D32" s="13"/>
      <c r="E32" s="13"/>
      <c r="F32" s="13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customFormat="false" ht="15" hidden="false" customHeight="false" outlineLevel="0" collapsed="false">
      <c r="A33" s="13"/>
      <c r="B33" s="47"/>
      <c r="C33" s="9"/>
      <c r="D33" s="13"/>
      <c r="E33" s="13"/>
      <c r="F33" s="1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customFormat="false" ht="15" hidden="false" customHeight="false" outlineLevel="0" collapsed="false">
      <c r="A34" s="13"/>
      <c r="B34" s="47"/>
      <c r="C34" s="9"/>
      <c r="D34" s="13"/>
      <c r="E34" s="13"/>
      <c r="F34" s="13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 customFormat="false" ht="15" hidden="false" customHeight="false" outlineLevel="0" collapsed="false">
      <c r="A35" s="13"/>
      <c r="B35" s="47"/>
      <c r="C35" s="9"/>
      <c r="D35" s="13"/>
      <c r="E35" s="13"/>
      <c r="F35" s="13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4" width="31.86"/>
  </cols>
  <sheetData>
    <row r="2" customFormat="false" ht="15" hidden="false" customHeight="false" outlineLevel="0" collapsed="false">
      <c r="A2" s="39" t="s">
        <v>640</v>
      </c>
      <c r="B2" s="40" t="n">
        <f aca="false">'Monitoramento Geral'!D240</f>
        <v>232</v>
      </c>
      <c r="C2" s="41"/>
    </row>
    <row r="3" customFormat="false" ht="15" hidden="false" customHeight="false" outlineLevel="0" collapsed="false">
      <c r="A3" s="39" t="s">
        <v>642</v>
      </c>
      <c r="B3" s="40" t="n">
        <f aca="false">'Monitoramento Geral'!F240</f>
        <v>66</v>
      </c>
      <c r="C3" s="41"/>
    </row>
    <row r="4" customFormat="false" ht="15" hidden="false" customHeight="false" outlineLevel="0" collapsed="false">
      <c r="A4" s="39" t="s">
        <v>643</v>
      </c>
      <c r="B4" s="40" t="n">
        <f aca="false">'Monitoramento Geral'!I240</f>
        <v>77</v>
      </c>
      <c r="C4" s="41"/>
    </row>
    <row r="5" customFormat="false" ht="15" hidden="false" customHeight="false" outlineLevel="0" collapsed="false">
      <c r="A5" s="39" t="s">
        <v>644</v>
      </c>
      <c r="B5" s="40" t="n">
        <f aca="false">'Monitoramento Geral'!O240</f>
        <v>13</v>
      </c>
      <c r="C5" s="41"/>
    </row>
    <row r="6" customFormat="false" ht="15" hidden="false" customHeight="false" outlineLevel="0" collapsed="false">
      <c r="A6" s="39" t="s">
        <v>645</v>
      </c>
      <c r="B6" s="40" t="n">
        <f aca="false">'Monitoramento Geral'!P240</f>
        <v>40</v>
      </c>
      <c r="C6" s="41"/>
    </row>
    <row r="7" customFormat="false" ht="15" hidden="false" customHeight="false" outlineLevel="0" collapsed="false">
      <c r="A7" s="39" t="s">
        <v>646</v>
      </c>
      <c r="B7" s="40"/>
      <c r="C7" s="4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6863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2006-09-25T12:47:36Z</dcterms:created>
  <dc:creator/>
  <dc:description/>
  <dc:language>pt-BR</dc:language>
  <cp:lastModifiedBy/>
  <dcterms:modified xsi:type="dcterms:W3CDTF">2026-06-19T09:04:34Z</dcterms:modified>
  <cp:revision>310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